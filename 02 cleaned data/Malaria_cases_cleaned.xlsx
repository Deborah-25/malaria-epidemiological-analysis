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3"/>
  </bookViews>
  <sheets>
    <sheet name="Raw_Data" sheetId="1" r:id="rId1"/>
    <sheet name="Analysis" sheetId="5" r:id="rId2"/>
    <sheet name="Analysis 2" sheetId="6" r:id="rId3"/>
    <sheet name="ANALYSIS 3" sheetId="9" r:id="rId4"/>
    <sheet name="analysis 4" sheetId="11" r:id="rId5"/>
    <sheet name="Cleaned_data" sheetId="3" r:id="rId6"/>
    <sheet name="README" sheetId="2" r:id="rId7"/>
    <sheet name="Data_cleaning_log" sheetId="4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<sst xmlns="http://schemas.openxmlformats.org/spreadsheetml/2006/main" count="1718" uniqueCount="185">
  <si>
    <t>Patient_ID</t>
  </si>
  <si>
    <t>Age</t>
  </si>
  <si>
    <t>Sex</t>
  </si>
  <si>
    <t>Community</t>
  </si>
  <si>
    <t>Month</t>
  </si>
  <si>
    <t>Malaria_Test</t>
  </si>
  <si>
    <t>Fever</t>
  </si>
  <si>
    <t>Treatment</t>
  </si>
  <si>
    <t>Outcome</t>
  </si>
  <si>
    <t>P001</t>
  </si>
  <si>
    <t>Female</t>
  </si>
  <si>
    <t>Community A</t>
  </si>
  <si>
    <t>March</t>
  </si>
  <si>
    <t>Positive</t>
  </si>
  <si>
    <t>Yes</t>
  </si>
  <si>
    <t>ACT</t>
  </si>
  <si>
    <t>Recovered</t>
  </si>
  <si>
    <t>P002</t>
  </si>
  <si>
    <t>Community B</t>
  </si>
  <si>
    <t>P003</t>
  </si>
  <si>
    <t>Community C</t>
  </si>
  <si>
    <t>Follow-up</t>
  </si>
  <si>
    <t>P004</t>
  </si>
  <si>
    <t>June</t>
  </si>
  <si>
    <t>P005</t>
  </si>
  <si>
    <t>Male</t>
  </si>
  <si>
    <t>February</t>
  </si>
  <si>
    <t>Negative</t>
  </si>
  <si>
    <t>No</t>
  </si>
  <si>
    <t>None</t>
  </si>
  <si>
    <t>P006</t>
  </si>
  <si>
    <t>P007</t>
  </si>
  <si>
    <t>P008</t>
  </si>
  <si>
    <t>May</t>
  </si>
  <si>
    <t>Referred</t>
  </si>
  <si>
    <t>P009</t>
  </si>
  <si>
    <t>P010</t>
  </si>
  <si>
    <t>P011</t>
  </si>
  <si>
    <t>January</t>
  </si>
  <si>
    <t>P012</t>
  </si>
  <si>
    <t/>
  </si>
  <si>
    <t>P013</t>
  </si>
  <si>
    <t>P014</t>
  </si>
  <si>
    <t>Community D</t>
  </si>
  <si>
    <t>P015</t>
  </si>
  <si>
    <t>P016</t>
  </si>
  <si>
    <t>April</t>
  </si>
  <si>
    <t>P017</t>
  </si>
  <si>
    <t>P018</t>
  </si>
  <si>
    <t>P019</t>
  </si>
  <si>
    <t>P020</t>
  </si>
  <si>
    <t>P021</t>
  </si>
  <si>
    <t>female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</si>
  <si>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</si>
  <si>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</si>
  <si>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</si>
  <si>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</si>
  <si>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</si>
  <si>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</si>
  <si>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</si>
  <si>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</si>
  <si>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</si>
  <si>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</si>
  <si>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</si>
  <si>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</si>
  <si>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</si>
  <si>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</si>
  <si>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</si>
  <si>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community c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</si>
  <si>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</si>
  <si>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</si>
  <si>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</si>
  <si>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</si>
  <si>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</si>
  <si>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</si>
  <si>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</si>
  <si>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</si>
  <si>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</si>
  <si>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</si>
  <si>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</si>
  <si>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</si>
  <si>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</si>
  <si>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</si>
  <si>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</si>
  <si>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</si>
  <si>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</si>
  <si>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</si>
  <si>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</si>
  <si>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</si>
  <si>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</si>
  <si>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</si>
  <si>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</si>
  <si>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</si>
  <si>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</si>
  <si>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</si>
  <si>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MALE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</si>
  <si>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</si>
  <si>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</si>
  <si>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</si>
  <si>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</si>
  <si>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</si>
  <si>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</si>
  <si>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</si>
  <si>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</si>
  <si>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</si>
  <si>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</si>
  <si>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</si>
  <si>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</si>
  <si>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COMMUNITY A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</si>
  <si>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</si>
  <si>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</si>
  <si>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</si>
  <si>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</si>
  <si>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</si>
  <si>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</si>
  <si>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</si>
  <si>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</si>
  <si>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</si>
  <si>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</si>
  <si>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</si>
  <si>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</si>
  <si>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</si>
  <si>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</si>
  <si>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</si>
  <si>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</si>
  <si>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</si>
  <si>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</si>
  <si>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</si>
  <si>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</si>
  <si>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</si>
  <si>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</si>
  <si>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</si>
  <si>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</si>
  <si>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</si>
  <si>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</si>
  <si>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Count of Patient_ID</t>
  </si>
  <si>
    <t>Overall Positivity Test</t>
  </si>
  <si>
    <t>Grand Total</t>
  </si>
  <si>
    <t>Positive Cases</t>
  </si>
  <si>
    <t>Total Cases</t>
  </si>
  <si>
    <t>Positivity Rate</t>
  </si>
  <si>
    <t>Age Group</t>
  </si>
  <si>
    <t>Positive case</t>
  </si>
  <si>
    <t>Total case</t>
  </si>
  <si>
    <t>0-4</t>
  </si>
  <si>
    <t>0-14</t>
  </si>
  <si>
    <t>15-24</t>
  </si>
  <si>
    <t>25-44</t>
  </si>
  <si>
    <t>45+</t>
  </si>
  <si>
    <t>positive case</t>
  </si>
  <si>
    <t>total case</t>
  </si>
  <si>
    <t>positivity rate</t>
  </si>
  <si>
    <t>Item</t>
  </si>
  <si>
    <t>Description</t>
  </si>
  <si>
    <t>Project</t>
  </si>
  <si>
    <t>Malaria Cases: Epidemiological Data Analysis</t>
  </si>
  <si>
    <t>Dataset type</t>
  </si>
  <si>
    <t>Synthetic / fictional dataset created for portfolio practice</t>
  </si>
  <si>
    <t>Number of records</t>
  </si>
  <si>
    <t>100 rows</t>
  </si>
  <si>
    <t>Purpose</t>
  </si>
  <si>
    <t>Practice data cleaning, descriptive epidemiology, Excel analysis and visualization</t>
  </si>
  <si>
    <t>Important note</t>
  </si>
  <si>
    <t>No row represents a real patient and findings must not be presented as real-world malaria estimates.</t>
  </si>
  <si>
    <t>Variables</t>
  </si>
  <si>
    <t>Patient_ID, Age, Sex, Community, Month, Malaria_Test, Fever, Treatment, Outcome</t>
  </si>
  <si>
    <t>Data-quality issues included</t>
  </si>
  <si>
    <t>3 missing ages; inconsistent capitalization in Sex; inconsistent capitalization in Community; 1 duplicate Patient_ID</t>
  </si>
  <si>
    <t>A</t>
  </si>
  <si>
    <t>B</t>
  </si>
  <si>
    <t>C</t>
  </si>
  <si>
    <t>D</t>
  </si>
  <si>
    <t>Issue Identified</t>
  </si>
  <si>
    <t>Number Found</t>
  </si>
  <si>
    <t>Action Taken</t>
  </si>
  <si>
    <t>Status</t>
  </si>
  <si>
    <t>Missing Age</t>
  </si>
  <si>
    <t>Left blank; not guessed</t>
  </si>
  <si>
    <t>Completed</t>
  </si>
  <si>
    <t>Duplicate Patient ID</t>
  </si>
  <si>
    <t>Duplicate record removed</t>
  </si>
  <si>
    <t>Inconsistent Sex</t>
  </si>
  <si>
    <t>Standardized to Female/Male</t>
  </si>
  <si>
    <t>Inconsistent Community</t>
  </si>
  <si>
    <t>Standardized community names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</si>
</sst>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10" fontId="0" fillId="0" borderId="0" xfId="0" applyNumberFormat="1"/>
    <xf numFmtId="178" fontId="0" fillId="0" borderId="0" xfId="0" applyNumberFormat="1"/>
    <xf numFmtId="9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1.3513425926" refreshedBy="USER" recordCount="100">
  <cacheSource type="worksheet">
    <worksheetSource ref="A1:I101" sheet="Cleaned_data"/>
  </cacheSource>
  <cacheFields count="9">
    <cacheField name="Patient_ID" numFmtId="0">
      <sharedItems count="1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</sharedItems>
    </cacheField>
    <cacheField name="Age" numFmtId="0">
      <sharedItems containsBlank="1" containsNumber="1" containsInteger="1" containsMixedTypes="1" count="56">
        <n v="20"/>
        <n v="24"/>
        <n v="12"/>
        <n v="29"/>
        <n v="48"/>
        <n v="14"/>
        <n v="59"/>
        <n v="32"/>
        <n v="44"/>
        <n v="55"/>
        <m/>
        <n v="30"/>
        <n v="37"/>
        <n v="34"/>
        <n v="35"/>
        <n v="4"/>
        <n v="21"/>
        <n v="33"/>
        <n v="17"/>
        <n v="26"/>
        <n v="43"/>
        <n v="57"/>
        <n v="60"/>
        <n v="1"/>
        <n v="6"/>
        <n v="7"/>
        <n v="39"/>
        <n v="68"/>
        <n v="22"/>
        <n v="2"/>
        <n v="11"/>
        <n v="62"/>
        <n v="40"/>
        <n v="27"/>
        <n v="16"/>
        <n v="25"/>
        <n v="47"/>
        <s v=""/>
        <n v="54"/>
        <n v="51"/>
        <n v="5"/>
        <n v="46"/>
        <n v="42"/>
        <n v="41"/>
        <n v="36"/>
        <n v="31"/>
        <n v="64"/>
        <n v="13"/>
        <n v="19"/>
        <n v="49"/>
        <n v="58"/>
        <n v="38"/>
        <n v="15"/>
        <n v="50"/>
        <n v="8"/>
        <n v="53"/>
      </sharedItems>
    </cacheField>
    <cacheField name="Sex" numFmtId="0">
      <sharedItems count="2">
        <s v="Female"/>
        <s v="Male"/>
      </sharedItems>
    </cacheField>
    <cacheField name="Community" numFmtId="0">
      <sharedItems count="4">
        <s v="Community A"/>
        <s v="Community B"/>
        <s v="Community C"/>
        <s v="Community D"/>
      </sharedItems>
    </cacheField>
    <cacheField name="Month" numFmtId="0">
      <sharedItems count="6">
        <s v="March"/>
        <s v="June"/>
        <s v="February"/>
        <s v="May"/>
        <s v="January"/>
        <s v="April"/>
      </sharedItems>
    </cacheField>
    <cacheField name="Malaria_Test" numFmtId="0">
      <sharedItems count="2">
        <s v="Positive"/>
        <s v="Negative"/>
      </sharedItems>
    </cacheField>
    <cacheField name="Fever" numFmtId="0">
      <sharedItems count="2">
        <s v="Yes"/>
        <s v="No"/>
      </sharedItems>
    </cacheField>
    <cacheField name="Treatment" numFmtId="0">
      <sharedItems count="2">
        <s v="ACT"/>
        <s v="None"/>
      </sharedItems>
    </cacheField>
    <cacheField name="Outcome" numFmtId="0">
      <sharedItems count="3">
        <s v="Recovered"/>
        <s v="Follow-up"/>
        <s v="Referred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1.4193402778" refreshedBy="USER" recordCount="100">
  <cacheSource type="worksheet">
    <worksheetSource ref="A1:J101" sheet="Cleaned_data"/>
  </cacheSource>
  <cacheFields count="10">
    <cacheField name="Patient_ID" numFmtId="0">
      <sharedItems count="1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</sharedItems>
    </cacheField>
    <cacheField name="Age" numFmtId="0">
      <sharedItems containsBlank="1" containsNumber="1" containsInteger="1" containsMixedTypes="1" count="56">
        <n v="20"/>
        <n v="24"/>
        <n v="12"/>
        <n v="29"/>
        <n v="48"/>
        <n v="14"/>
        <n v="59"/>
        <n v="32"/>
        <n v="44"/>
        <n v="55"/>
        <m/>
        <n v="30"/>
        <n v="37"/>
        <n v="34"/>
        <n v="35"/>
        <n v="4"/>
        <n v="21"/>
        <n v="33"/>
        <n v="17"/>
        <n v="26"/>
        <n v="43"/>
        <n v="57"/>
        <n v="60"/>
        <n v="1"/>
        <n v="6"/>
        <n v="7"/>
        <n v="39"/>
        <n v="68"/>
        <n v="22"/>
        <n v="2"/>
        <n v="11"/>
        <n v="62"/>
        <n v="40"/>
        <n v="27"/>
        <n v="16"/>
        <n v="25"/>
        <n v="47"/>
        <s v=""/>
        <n v="54"/>
        <n v="51"/>
        <n v="5"/>
        <n v="46"/>
        <n v="42"/>
        <n v="41"/>
        <n v="36"/>
        <n v="31"/>
        <n v="64"/>
        <n v="13"/>
        <n v="19"/>
        <n v="49"/>
        <n v="58"/>
        <n v="38"/>
        <n v="15"/>
        <n v="50"/>
        <n v="8"/>
        <n v="53"/>
      </sharedItems>
    </cacheField>
    <cacheField name="Sex" numFmtId="0">
      <sharedItems count="2">
        <s v="Female"/>
        <s v="Male"/>
      </sharedItems>
    </cacheField>
    <cacheField name="Community" numFmtId="0">
      <sharedItems count="4">
        <s v="Community A"/>
        <s v="Community B"/>
        <s v="Community C"/>
        <s v="Community D"/>
      </sharedItems>
    </cacheField>
    <cacheField name="Month" numFmtId="0">
      <sharedItems count="6">
        <s v="March"/>
        <s v="June"/>
        <s v="February"/>
        <s v="May"/>
        <s v="January"/>
        <s v="April"/>
      </sharedItems>
    </cacheField>
    <cacheField name="Malaria_Test" numFmtId="0">
      <sharedItems count="2">
        <s v="Positive"/>
        <s v="Negative"/>
      </sharedItems>
    </cacheField>
    <cacheField name="Fever" numFmtId="0">
      <sharedItems count="2">
        <s v="Yes"/>
        <s v="No"/>
      </sharedItems>
    </cacheField>
    <cacheField name="Treatment" numFmtId="0">
      <sharedItems count="2">
        <s v="ACT"/>
        <s v="None"/>
      </sharedItems>
    </cacheField>
    <cacheField name="Outcome" numFmtId="0">
      <sharedItems count="3">
        <s v="Recovered"/>
        <s v="Follow-up"/>
        <s v="Referred"/>
      </sharedItems>
    </cacheField>
    <cacheField name="Age Group" numFmtId="0">
      <sharedItems count="5">
        <s v="15-24"/>
        <s v="0-14"/>
        <s v="25-44"/>
        <s v="45+"/>
        <s v="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</r>
  <r>
    <x v="1"/>
    <x v="1"/>
    <x v="0"/>
    <x v="1"/>
    <x v="0"/>
    <x v="0"/>
    <x v="0"/>
    <x v="0"/>
    <x v="0"/>
  </r>
  <r>
    <x v="2"/>
    <x v="2"/>
    <x v="0"/>
    <x v="2"/>
    <x v="0"/>
    <x v="0"/>
    <x v="0"/>
    <x v="0"/>
    <x v="1"/>
  </r>
  <r>
    <x v="3"/>
    <x v="3"/>
    <x v="0"/>
    <x v="2"/>
    <x v="1"/>
    <x v="0"/>
    <x v="0"/>
    <x v="0"/>
    <x v="0"/>
  </r>
  <r>
    <x v="4"/>
    <x v="4"/>
    <x v="1"/>
    <x v="1"/>
    <x v="2"/>
    <x v="1"/>
    <x v="1"/>
    <x v="1"/>
    <x v="0"/>
  </r>
  <r>
    <x v="5"/>
    <x v="5"/>
    <x v="0"/>
    <x v="1"/>
    <x v="1"/>
    <x v="1"/>
    <x v="0"/>
    <x v="1"/>
    <x v="0"/>
  </r>
  <r>
    <x v="6"/>
    <x v="6"/>
    <x v="0"/>
    <x v="2"/>
    <x v="2"/>
    <x v="1"/>
    <x v="1"/>
    <x v="1"/>
    <x v="1"/>
  </r>
  <r>
    <x v="7"/>
    <x v="7"/>
    <x v="0"/>
    <x v="2"/>
    <x v="3"/>
    <x v="0"/>
    <x v="0"/>
    <x v="0"/>
    <x v="2"/>
  </r>
  <r>
    <x v="8"/>
    <x v="0"/>
    <x v="0"/>
    <x v="2"/>
    <x v="0"/>
    <x v="1"/>
    <x v="1"/>
    <x v="1"/>
    <x v="0"/>
  </r>
  <r>
    <x v="9"/>
    <x v="8"/>
    <x v="0"/>
    <x v="2"/>
    <x v="3"/>
    <x v="1"/>
    <x v="1"/>
    <x v="1"/>
    <x v="0"/>
  </r>
  <r>
    <x v="10"/>
    <x v="9"/>
    <x v="1"/>
    <x v="2"/>
    <x v="4"/>
    <x v="0"/>
    <x v="0"/>
    <x v="0"/>
    <x v="0"/>
  </r>
  <r>
    <x v="11"/>
    <x v="10"/>
    <x v="0"/>
    <x v="1"/>
    <x v="0"/>
    <x v="0"/>
    <x v="1"/>
    <x v="0"/>
    <x v="0"/>
  </r>
  <r>
    <x v="12"/>
    <x v="11"/>
    <x v="1"/>
    <x v="2"/>
    <x v="4"/>
    <x v="1"/>
    <x v="1"/>
    <x v="1"/>
    <x v="0"/>
  </r>
  <r>
    <x v="13"/>
    <x v="12"/>
    <x v="1"/>
    <x v="3"/>
    <x v="2"/>
    <x v="1"/>
    <x v="1"/>
    <x v="1"/>
    <x v="1"/>
  </r>
  <r>
    <x v="14"/>
    <x v="13"/>
    <x v="0"/>
    <x v="2"/>
    <x v="0"/>
    <x v="1"/>
    <x v="1"/>
    <x v="1"/>
    <x v="0"/>
  </r>
  <r>
    <x v="15"/>
    <x v="14"/>
    <x v="1"/>
    <x v="0"/>
    <x v="5"/>
    <x v="0"/>
    <x v="1"/>
    <x v="0"/>
    <x v="0"/>
  </r>
  <r>
    <x v="16"/>
    <x v="15"/>
    <x v="1"/>
    <x v="3"/>
    <x v="5"/>
    <x v="1"/>
    <x v="0"/>
    <x v="1"/>
    <x v="1"/>
  </r>
  <r>
    <x v="17"/>
    <x v="16"/>
    <x v="0"/>
    <x v="3"/>
    <x v="4"/>
    <x v="1"/>
    <x v="0"/>
    <x v="1"/>
    <x v="0"/>
  </r>
  <r>
    <x v="18"/>
    <x v="17"/>
    <x v="1"/>
    <x v="0"/>
    <x v="1"/>
    <x v="1"/>
    <x v="0"/>
    <x v="1"/>
    <x v="0"/>
  </r>
  <r>
    <x v="19"/>
    <x v="18"/>
    <x v="1"/>
    <x v="3"/>
    <x v="2"/>
    <x v="0"/>
    <x v="0"/>
    <x v="0"/>
    <x v="0"/>
  </r>
  <r>
    <x v="20"/>
    <x v="19"/>
    <x v="0"/>
    <x v="1"/>
    <x v="0"/>
    <x v="1"/>
    <x v="0"/>
    <x v="1"/>
    <x v="0"/>
  </r>
  <r>
    <x v="21"/>
    <x v="20"/>
    <x v="1"/>
    <x v="3"/>
    <x v="3"/>
    <x v="0"/>
    <x v="0"/>
    <x v="0"/>
    <x v="0"/>
  </r>
  <r>
    <x v="22"/>
    <x v="21"/>
    <x v="0"/>
    <x v="3"/>
    <x v="3"/>
    <x v="1"/>
    <x v="1"/>
    <x v="1"/>
    <x v="0"/>
  </r>
  <r>
    <x v="23"/>
    <x v="15"/>
    <x v="0"/>
    <x v="3"/>
    <x v="0"/>
    <x v="0"/>
    <x v="0"/>
    <x v="0"/>
    <x v="0"/>
  </r>
  <r>
    <x v="24"/>
    <x v="22"/>
    <x v="0"/>
    <x v="2"/>
    <x v="4"/>
    <x v="1"/>
    <x v="1"/>
    <x v="1"/>
    <x v="0"/>
  </r>
  <r>
    <x v="25"/>
    <x v="18"/>
    <x v="0"/>
    <x v="1"/>
    <x v="3"/>
    <x v="1"/>
    <x v="0"/>
    <x v="1"/>
    <x v="1"/>
  </r>
  <r>
    <x v="26"/>
    <x v="23"/>
    <x v="0"/>
    <x v="3"/>
    <x v="5"/>
    <x v="1"/>
    <x v="1"/>
    <x v="1"/>
    <x v="0"/>
  </r>
  <r>
    <x v="27"/>
    <x v="6"/>
    <x v="0"/>
    <x v="1"/>
    <x v="4"/>
    <x v="1"/>
    <x v="0"/>
    <x v="1"/>
    <x v="0"/>
  </r>
  <r>
    <x v="28"/>
    <x v="24"/>
    <x v="1"/>
    <x v="1"/>
    <x v="0"/>
    <x v="0"/>
    <x v="1"/>
    <x v="0"/>
    <x v="0"/>
  </r>
  <r>
    <x v="29"/>
    <x v="25"/>
    <x v="0"/>
    <x v="2"/>
    <x v="1"/>
    <x v="0"/>
    <x v="0"/>
    <x v="0"/>
    <x v="0"/>
  </r>
  <r>
    <x v="30"/>
    <x v="26"/>
    <x v="0"/>
    <x v="0"/>
    <x v="4"/>
    <x v="0"/>
    <x v="0"/>
    <x v="0"/>
    <x v="1"/>
  </r>
  <r>
    <x v="31"/>
    <x v="27"/>
    <x v="1"/>
    <x v="2"/>
    <x v="5"/>
    <x v="0"/>
    <x v="0"/>
    <x v="0"/>
    <x v="0"/>
  </r>
  <r>
    <x v="32"/>
    <x v="28"/>
    <x v="1"/>
    <x v="0"/>
    <x v="4"/>
    <x v="1"/>
    <x v="1"/>
    <x v="1"/>
    <x v="0"/>
  </r>
  <r>
    <x v="33"/>
    <x v="29"/>
    <x v="0"/>
    <x v="3"/>
    <x v="0"/>
    <x v="0"/>
    <x v="0"/>
    <x v="0"/>
    <x v="0"/>
  </r>
  <r>
    <x v="34"/>
    <x v="30"/>
    <x v="1"/>
    <x v="0"/>
    <x v="4"/>
    <x v="0"/>
    <x v="0"/>
    <x v="0"/>
    <x v="0"/>
  </r>
  <r>
    <x v="35"/>
    <x v="31"/>
    <x v="0"/>
    <x v="2"/>
    <x v="5"/>
    <x v="1"/>
    <x v="1"/>
    <x v="1"/>
    <x v="0"/>
  </r>
  <r>
    <x v="36"/>
    <x v="32"/>
    <x v="0"/>
    <x v="0"/>
    <x v="1"/>
    <x v="1"/>
    <x v="1"/>
    <x v="1"/>
    <x v="0"/>
  </r>
  <r>
    <x v="37"/>
    <x v="8"/>
    <x v="0"/>
    <x v="1"/>
    <x v="0"/>
    <x v="1"/>
    <x v="1"/>
    <x v="1"/>
    <x v="0"/>
  </r>
  <r>
    <x v="38"/>
    <x v="33"/>
    <x v="0"/>
    <x v="1"/>
    <x v="3"/>
    <x v="1"/>
    <x v="1"/>
    <x v="1"/>
    <x v="0"/>
  </r>
  <r>
    <x v="39"/>
    <x v="34"/>
    <x v="1"/>
    <x v="3"/>
    <x v="3"/>
    <x v="0"/>
    <x v="0"/>
    <x v="0"/>
    <x v="0"/>
  </r>
  <r>
    <x v="40"/>
    <x v="2"/>
    <x v="0"/>
    <x v="3"/>
    <x v="4"/>
    <x v="1"/>
    <x v="1"/>
    <x v="1"/>
    <x v="0"/>
  </r>
  <r>
    <x v="41"/>
    <x v="22"/>
    <x v="0"/>
    <x v="3"/>
    <x v="3"/>
    <x v="1"/>
    <x v="1"/>
    <x v="1"/>
    <x v="0"/>
  </r>
  <r>
    <x v="42"/>
    <x v="6"/>
    <x v="1"/>
    <x v="0"/>
    <x v="1"/>
    <x v="1"/>
    <x v="1"/>
    <x v="1"/>
    <x v="1"/>
  </r>
  <r>
    <x v="43"/>
    <x v="35"/>
    <x v="1"/>
    <x v="1"/>
    <x v="1"/>
    <x v="1"/>
    <x v="1"/>
    <x v="1"/>
    <x v="0"/>
  </r>
  <r>
    <x v="44"/>
    <x v="15"/>
    <x v="1"/>
    <x v="2"/>
    <x v="0"/>
    <x v="1"/>
    <x v="0"/>
    <x v="1"/>
    <x v="0"/>
  </r>
  <r>
    <x v="45"/>
    <x v="7"/>
    <x v="0"/>
    <x v="0"/>
    <x v="5"/>
    <x v="0"/>
    <x v="1"/>
    <x v="0"/>
    <x v="1"/>
  </r>
  <r>
    <x v="46"/>
    <x v="36"/>
    <x v="0"/>
    <x v="1"/>
    <x v="3"/>
    <x v="1"/>
    <x v="0"/>
    <x v="1"/>
    <x v="0"/>
  </r>
  <r>
    <x v="47"/>
    <x v="37"/>
    <x v="1"/>
    <x v="3"/>
    <x v="3"/>
    <x v="0"/>
    <x v="0"/>
    <x v="0"/>
    <x v="0"/>
  </r>
  <r>
    <x v="48"/>
    <x v="30"/>
    <x v="0"/>
    <x v="2"/>
    <x v="0"/>
    <x v="1"/>
    <x v="1"/>
    <x v="1"/>
    <x v="0"/>
  </r>
  <r>
    <x v="49"/>
    <x v="1"/>
    <x v="1"/>
    <x v="1"/>
    <x v="5"/>
    <x v="0"/>
    <x v="0"/>
    <x v="0"/>
    <x v="0"/>
  </r>
  <r>
    <x v="50"/>
    <x v="25"/>
    <x v="1"/>
    <x v="0"/>
    <x v="1"/>
    <x v="1"/>
    <x v="1"/>
    <x v="1"/>
    <x v="0"/>
  </r>
  <r>
    <x v="51"/>
    <x v="22"/>
    <x v="1"/>
    <x v="2"/>
    <x v="1"/>
    <x v="0"/>
    <x v="0"/>
    <x v="0"/>
    <x v="0"/>
  </r>
  <r>
    <x v="52"/>
    <x v="0"/>
    <x v="0"/>
    <x v="1"/>
    <x v="4"/>
    <x v="0"/>
    <x v="0"/>
    <x v="0"/>
    <x v="1"/>
  </r>
  <r>
    <x v="53"/>
    <x v="23"/>
    <x v="1"/>
    <x v="1"/>
    <x v="2"/>
    <x v="0"/>
    <x v="0"/>
    <x v="0"/>
    <x v="0"/>
  </r>
  <r>
    <x v="54"/>
    <x v="9"/>
    <x v="1"/>
    <x v="2"/>
    <x v="5"/>
    <x v="1"/>
    <x v="0"/>
    <x v="1"/>
    <x v="0"/>
  </r>
  <r>
    <x v="55"/>
    <x v="38"/>
    <x v="0"/>
    <x v="1"/>
    <x v="5"/>
    <x v="0"/>
    <x v="0"/>
    <x v="0"/>
    <x v="2"/>
  </r>
  <r>
    <x v="56"/>
    <x v="31"/>
    <x v="0"/>
    <x v="2"/>
    <x v="3"/>
    <x v="1"/>
    <x v="1"/>
    <x v="1"/>
    <x v="0"/>
  </r>
  <r>
    <x v="57"/>
    <x v="30"/>
    <x v="1"/>
    <x v="0"/>
    <x v="4"/>
    <x v="0"/>
    <x v="0"/>
    <x v="0"/>
    <x v="0"/>
  </r>
  <r>
    <x v="58"/>
    <x v="33"/>
    <x v="0"/>
    <x v="2"/>
    <x v="3"/>
    <x v="0"/>
    <x v="0"/>
    <x v="0"/>
    <x v="0"/>
  </r>
  <r>
    <x v="59"/>
    <x v="39"/>
    <x v="0"/>
    <x v="2"/>
    <x v="1"/>
    <x v="0"/>
    <x v="0"/>
    <x v="0"/>
    <x v="0"/>
  </r>
  <r>
    <x v="60"/>
    <x v="25"/>
    <x v="0"/>
    <x v="3"/>
    <x v="0"/>
    <x v="0"/>
    <x v="0"/>
    <x v="0"/>
    <x v="0"/>
  </r>
  <r>
    <x v="61"/>
    <x v="40"/>
    <x v="1"/>
    <x v="1"/>
    <x v="1"/>
    <x v="0"/>
    <x v="0"/>
    <x v="0"/>
    <x v="0"/>
  </r>
  <r>
    <x v="62"/>
    <x v="29"/>
    <x v="1"/>
    <x v="0"/>
    <x v="4"/>
    <x v="0"/>
    <x v="0"/>
    <x v="0"/>
    <x v="0"/>
  </r>
  <r>
    <x v="63"/>
    <x v="8"/>
    <x v="1"/>
    <x v="1"/>
    <x v="5"/>
    <x v="1"/>
    <x v="1"/>
    <x v="1"/>
    <x v="0"/>
  </r>
  <r>
    <x v="64"/>
    <x v="38"/>
    <x v="0"/>
    <x v="2"/>
    <x v="3"/>
    <x v="1"/>
    <x v="0"/>
    <x v="1"/>
    <x v="0"/>
  </r>
  <r>
    <x v="65"/>
    <x v="41"/>
    <x v="1"/>
    <x v="3"/>
    <x v="2"/>
    <x v="1"/>
    <x v="0"/>
    <x v="1"/>
    <x v="0"/>
  </r>
  <r>
    <x v="66"/>
    <x v="42"/>
    <x v="0"/>
    <x v="3"/>
    <x v="3"/>
    <x v="1"/>
    <x v="1"/>
    <x v="1"/>
    <x v="0"/>
  </r>
  <r>
    <x v="67"/>
    <x v="40"/>
    <x v="1"/>
    <x v="2"/>
    <x v="5"/>
    <x v="0"/>
    <x v="0"/>
    <x v="0"/>
    <x v="0"/>
  </r>
  <r>
    <x v="68"/>
    <x v="43"/>
    <x v="0"/>
    <x v="3"/>
    <x v="3"/>
    <x v="1"/>
    <x v="1"/>
    <x v="1"/>
    <x v="0"/>
  </r>
  <r>
    <x v="69"/>
    <x v="1"/>
    <x v="1"/>
    <x v="0"/>
    <x v="2"/>
    <x v="0"/>
    <x v="0"/>
    <x v="0"/>
    <x v="0"/>
  </r>
  <r>
    <x v="70"/>
    <x v="18"/>
    <x v="0"/>
    <x v="3"/>
    <x v="5"/>
    <x v="0"/>
    <x v="0"/>
    <x v="0"/>
    <x v="0"/>
  </r>
  <r>
    <x v="71"/>
    <x v="8"/>
    <x v="0"/>
    <x v="1"/>
    <x v="0"/>
    <x v="0"/>
    <x v="1"/>
    <x v="0"/>
    <x v="0"/>
  </r>
  <r>
    <x v="72"/>
    <x v="22"/>
    <x v="0"/>
    <x v="2"/>
    <x v="1"/>
    <x v="1"/>
    <x v="1"/>
    <x v="1"/>
    <x v="0"/>
  </r>
  <r>
    <x v="73"/>
    <x v="18"/>
    <x v="0"/>
    <x v="0"/>
    <x v="4"/>
    <x v="1"/>
    <x v="0"/>
    <x v="1"/>
    <x v="0"/>
  </r>
  <r>
    <x v="74"/>
    <x v="43"/>
    <x v="1"/>
    <x v="0"/>
    <x v="3"/>
    <x v="0"/>
    <x v="0"/>
    <x v="0"/>
    <x v="0"/>
  </r>
  <r>
    <x v="75"/>
    <x v="44"/>
    <x v="0"/>
    <x v="0"/>
    <x v="5"/>
    <x v="1"/>
    <x v="1"/>
    <x v="1"/>
    <x v="0"/>
  </r>
  <r>
    <x v="76"/>
    <x v="45"/>
    <x v="0"/>
    <x v="3"/>
    <x v="1"/>
    <x v="0"/>
    <x v="0"/>
    <x v="0"/>
    <x v="0"/>
  </r>
  <r>
    <x v="77"/>
    <x v="46"/>
    <x v="0"/>
    <x v="0"/>
    <x v="2"/>
    <x v="0"/>
    <x v="0"/>
    <x v="0"/>
    <x v="0"/>
  </r>
  <r>
    <x v="78"/>
    <x v="47"/>
    <x v="0"/>
    <x v="3"/>
    <x v="0"/>
    <x v="1"/>
    <x v="1"/>
    <x v="1"/>
    <x v="1"/>
  </r>
  <r>
    <x v="79"/>
    <x v="0"/>
    <x v="0"/>
    <x v="0"/>
    <x v="4"/>
    <x v="0"/>
    <x v="0"/>
    <x v="0"/>
    <x v="0"/>
  </r>
  <r>
    <x v="80"/>
    <x v="12"/>
    <x v="1"/>
    <x v="2"/>
    <x v="4"/>
    <x v="0"/>
    <x v="0"/>
    <x v="0"/>
    <x v="0"/>
  </r>
  <r>
    <x v="81"/>
    <x v="5"/>
    <x v="1"/>
    <x v="0"/>
    <x v="3"/>
    <x v="0"/>
    <x v="0"/>
    <x v="0"/>
    <x v="0"/>
  </r>
  <r>
    <x v="82"/>
    <x v="37"/>
    <x v="0"/>
    <x v="1"/>
    <x v="2"/>
    <x v="0"/>
    <x v="0"/>
    <x v="0"/>
    <x v="0"/>
  </r>
  <r>
    <x v="83"/>
    <x v="26"/>
    <x v="1"/>
    <x v="2"/>
    <x v="2"/>
    <x v="1"/>
    <x v="0"/>
    <x v="1"/>
    <x v="0"/>
  </r>
  <r>
    <x v="84"/>
    <x v="35"/>
    <x v="1"/>
    <x v="0"/>
    <x v="3"/>
    <x v="0"/>
    <x v="0"/>
    <x v="0"/>
    <x v="0"/>
  </r>
  <r>
    <x v="85"/>
    <x v="35"/>
    <x v="1"/>
    <x v="0"/>
    <x v="1"/>
    <x v="1"/>
    <x v="1"/>
    <x v="1"/>
    <x v="0"/>
  </r>
  <r>
    <x v="86"/>
    <x v="3"/>
    <x v="0"/>
    <x v="2"/>
    <x v="5"/>
    <x v="1"/>
    <x v="0"/>
    <x v="1"/>
    <x v="0"/>
  </r>
  <r>
    <x v="87"/>
    <x v="14"/>
    <x v="0"/>
    <x v="1"/>
    <x v="4"/>
    <x v="0"/>
    <x v="0"/>
    <x v="0"/>
    <x v="0"/>
  </r>
  <r>
    <x v="88"/>
    <x v="48"/>
    <x v="0"/>
    <x v="0"/>
    <x v="3"/>
    <x v="0"/>
    <x v="0"/>
    <x v="0"/>
    <x v="0"/>
  </r>
  <r>
    <x v="89"/>
    <x v="12"/>
    <x v="1"/>
    <x v="0"/>
    <x v="4"/>
    <x v="1"/>
    <x v="1"/>
    <x v="1"/>
    <x v="0"/>
  </r>
  <r>
    <x v="90"/>
    <x v="43"/>
    <x v="0"/>
    <x v="3"/>
    <x v="3"/>
    <x v="0"/>
    <x v="1"/>
    <x v="0"/>
    <x v="1"/>
  </r>
  <r>
    <x v="91"/>
    <x v="49"/>
    <x v="1"/>
    <x v="3"/>
    <x v="4"/>
    <x v="0"/>
    <x v="0"/>
    <x v="0"/>
    <x v="2"/>
  </r>
  <r>
    <x v="92"/>
    <x v="50"/>
    <x v="0"/>
    <x v="2"/>
    <x v="2"/>
    <x v="1"/>
    <x v="1"/>
    <x v="1"/>
    <x v="0"/>
  </r>
  <r>
    <x v="93"/>
    <x v="51"/>
    <x v="0"/>
    <x v="0"/>
    <x v="4"/>
    <x v="1"/>
    <x v="0"/>
    <x v="1"/>
    <x v="0"/>
  </r>
  <r>
    <x v="94"/>
    <x v="52"/>
    <x v="0"/>
    <x v="1"/>
    <x v="2"/>
    <x v="0"/>
    <x v="0"/>
    <x v="0"/>
    <x v="1"/>
  </r>
  <r>
    <x v="95"/>
    <x v="53"/>
    <x v="0"/>
    <x v="1"/>
    <x v="0"/>
    <x v="0"/>
    <x v="0"/>
    <x v="0"/>
    <x v="0"/>
  </r>
  <r>
    <x v="96"/>
    <x v="17"/>
    <x v="1"/>
    <x v="2"/>
    <x v="1"/>
    <x v="1"/>
    <x v="1"/>
    <x v="1"/>
    <x v="0"/>
  </r>
  <r>
    <x v="97"/>
    <x v="54"/>
    <x v="1"/>
    <x v="1"/>
    <x v="3"/>
    <x v="0"/>
    <x v="0"/>
    <x v="0"/>
    <x v="0"/>
  </r>
  <r>
    <x v="98"/>
    <x v="42"/>
    <x v="0"/>
    <x v="3"/>
    <x v="3"/>
    <x v="0"/>
    <x v="0"/>
    <x v="0"/>
    <x v="0"/>
  </r>
  <r>
    <x v="99"/>
    <x v="55"/>
    <x v="0"/>
    <x v="2"/>
    <x v="3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</r>
  <r>
    <x v="1"/>
    <x v="1"/>
    <x v="0"/>
    <x v="1"/>
    <x v="0"/>
    <x v="0"/>
    <x v="0"/>
    <x v="0"/>
    <x v="0"/>
    <x v="0"/>
  </r>
  <r>
    <x v="2"/>
    <x v="2"/>
    <x v="0"/>
    <x v="2"/>
    <x v="0"/>
    <x v="0"/>
    <x v="0"/>
    <x v="0"/>
    <x v="1"/>
    <x v="1"/>
  </r>
  <r>
    <x v="3"/>
    <x v="3"/>
    <x v="0"/>
    <x v="2"/>
    <x v="1"/>
    <x v="0"/>
    <x v="0"/>
    <x v="0"/>
    <x v="0"/>
    <x v="2"/>
  </r>
  <r>
    <x v="4"/>
    <x v="4"/>
    <x v="1"/>
    <x v="1"/>
    <x v="2"/>
    <x v="1"/>
    <x v="1"/>
    <x v="1"/>
    <x v="0"/>
    <x v="3"/>
  </r>
  <r>
    <x v="5"/>
    <x v="5"/>
    <x v="0"/>
    <x v="1"/>
    <x v="1"/>
    <x v="1"/>
    <x v="0"/>
    <x v="1"/>
    <x v="0"/>
    <x v="1"/>
  </r>
  <r>
    <x v="6"/>
    <x v="6"/>
    <x v="0"/>
    <x v="2"/>
    <x v="2"/>
    <x v="1"/>
    <x v="1"/>
    <x v="1"/>
    <x v="1"/>
    <x v="3"/>
  </r>
  <r>
    <x v="7"/>
    <x v="7"/>
    <x v="0"/>
    <x v="2"/>
    <x v="3"/>
    <x v="0"/>
    <x v="0"/>
    <x v="0"/>
    <x v="2"/>
    <x v="2"/>
  </r>
  <r>
    <x v="8"/>
    <x v="0"/>
    <x v="0"/>
    <x v="2"/>
    <x v="0"/>
    <x v="1"/>
    <x v="1"/>
    <x v="1"/>
    <x v="0"/>
    <x v="0"/>
  </r>
  <r>
    <x v="9"/>
    <x v="8"/>
    <x v="0"/>
    <x v="2"/>
    <x v="3"/>
    <x v="1"/>
    <x v="1"/>
    <x v="1"/>
    <x v="0"/>
    <x v="2"/>
  </r>
  <r>
    <x v="10"/>
    <x v="9"/>
    <x v="1"/>
    <x v="2"/>
    <x v="4"/>
    <x v="0"/>
    <x v="0"/>
    <x v="0"/>
    <x v="0"/>
    <x v="3"/>
  </r>
  <r>
    <x v="11"/>
    <x v="10"/>
    <x v="0"/>
    <x v="1"/>
    <x v="0"/>
    <x v="0"/>
    <x v="1"/>
    <x v="0"/>
    <x v="0"/>
    <x v="4"/>
  </r>
  <r>
    <x v="12"/>
    <x v="11"/>
    <x v="1"/>
    <x v="2"/>
    <x v="4"/>
    <x v="1"/>
    <x v="1"/>
    <x v="1"/>
    <x v="0"/>
    <x v="2"/>
  </r>
  <r>
    <x v="13"/>
    <x v="12"/>
    <x v="1"/>
    <x v="3"/>
    <x v="2"/>
    <x v="1"/>
    <x v="1"/>
    <x v="1"/>
    <x v="1"/>
    <x v="2"/>
  </r>
  <r>
    <x v="14"/>
    <x v="13"/>
    <x v="0"/>
    <x v="2"/>
    <x v="0"/>
    <x v="1"/>
    <x v="1"/>
    <x v="1"/>
    <x v="0"/>
    <x v="2"/>
  </r>
  <r>
    <x v="15"/>
    <x v="14"/>
    <x v="1"/>
    <x v="0"/>
    <x v="5"/>
    <x v="0"/>
    <x v="1"/>
    <x v="0"/>
    <x v="0"/>
    <x v="2"/>
  </r>
  <r>
    <x v="16"/>
    <x v="15"/>
    <x v="1"/>
    <x v="3"/>
    <x v="5"/>
    <x v="1"/>
    <x v="0"/>
    <x v="1"/>
    <x v="1"/>
    <x v="1"/>
  </r>
  <r>
    <x v="17"/>
    <x v="16"/>
    <x v="0"/>
    <x v="3"/>
    <x v="4"/>
    <x v="1"/>
    <x v="0"/>
    <x v="1"/>
    <x v="0"/>
    <x v="0"/>
  </r>
  <r>
    <x v="18"/>
    <x v="17"/>
    <x v="1"/>
    <x v="0"/>
    <x v="1"/>
    <x v="1"/>
    <x v="0"/>
    <x v="1"/>
    <x v="0"/>
    <x v="2"/>
  </r>
  <r>
    <x v="19"/>
    <x v="18"/>
    <x v="1"/>
    <x v="3"/>
    <x v="2"/>
    <x v="0"/>
    <x v="0"/>
    <x v="0"/>
    <x v="0"/>
    <x v="0"/>
  </r>
  <r>
    <x v="20"/>
    <x v="19"/>
    <x v="0"/>
    <x v="1"/>
    <x v="0"/>
    <x v="1"/>
    <x v="0"/>
    <x v="1"/>
    <x v="0"/>
    <x v="2"/>
  </r>
  <r>
    <x v="21"/>
    <x v="20"/>
    <x v="1"/>
    <x v="3"/>
    <x v="3"/>
    <x v="0"/>
    <x v="0"/>
    <x v="0"/>
    <x v="0"/>
    <x v="2"/>
  </r>
  <r>
    <x v="22"/>
    <x v="21"/>
    <x v="0"/>
    <x v="3"/>
    <x v="3"/>
    <x v="1"/>
    <x v="1"/>
    <x v="1"/>
    <x v="0"/>
    <x v="3"/>
  </r>
  <r>
    <x v="23"/>
    <x v="15"/>
    <x v="0"/>
    <x v="3"/>
    <x v="0"/>
    <x v="0"/>
    <x v="0"/>
    <x v="0"/>
    <x v="0"/>
    <x v="1"/>
  </r>
  <r>
    <x v="24"/>
    <x v="22"/>
    <x v="0"/>
    <x v="2"/>
    <x v="4"/>
    <x v="1"/>
    <x v="1"/>
    <x v="1"/>
    <x v="0"/>
    <x v="3"/>
  </r>
  <r>
    <x v="25"/>
    <x v="18"/>
    <x v="0"/>
    <x v="1"/>
    <x v="3"/>
    <x v="1"/>
    <x v="0"/>
    <x v="1"/>
    <x v="1"/>
    <x v="0"/>
  </r>
  <r>
    <x v="26"/>
    <x v="23"/>
    <x v="0"/>
    <x v="3"/>
    <x v="5"/>
    <x v="1"/>
    <x v="1"/>
    <x v="1"/>
    <x v="0"/>
    <x v="1"/>
  </r>
  <r>
    <x v="27"/>
    <x v="6"/>
    <x v="0"/>
    <x v="1"/>
    <x v="4"/>
    <x v="1"/>
    <x v="0"/>
    <x v="1"/>
    <x v="0"/>
    <x v="3"/>
  </r>
  <r>
    <x v="28"/>
    <x v="24"/>
    <x v="1"/>
    <x v="1"/>
    <x v="0"/>
    <x v="0"/>
    <x v="1"/>
    <x v="0"/>
    <x v="0"/>
    <x v="1"/>
  </r>
  <r>
    <x v="29"/>
    <x v="25"/>
    <x v="0"/>
    <x v="2"/>
    <x v="1"/>
    <x v="0"/>
    <x v="0"/>
    <x v="0"/>
    <x v="0"/>
    <x v="1"/>
  </r>
  <r>
    <x v="30"/>
    <x v="26"/>
    <x v="0"/>
    <x v="0"/>
    <x v="4"/>
    <x v="0"/>
    <x v="0"/>
    <x v="0"/>
    <x v="1"/>
    <x v="2"/>
  </r>
  <r>
    <x v="31"/>
    <x v="27"/>
    <x v="1"/>
    <x v="2"/>
    <x v="5"/>
    <x v="0"/>
    <x v="0"/>
    <x v="0"/>
    <x v="0"/>
    <x v="3"/>
  </r>
  <r>
    <x v="32"/>
    <x v="28"/>
    <x v="1"/>
    <x v="0"/>
    <x v="4"/>
    <x v="1"/>
    <x v="1"/>
    <x v="1"/>
    <x v="0"/>
    <x v="0"/>
  </r>
  <r>
    <x v="33"/>
    <x v="29"/>
    <x v="0"/>
    <x v="3"/>
    <x v="0"/>
    <x v="0"/>
    <x v="0"/>
    <x v="0"/>
    <x v="0"/>
    <x v="1"/>
  </r>
  <r>
    <x v="34"/>
    <x v="30"/>
    <x v="1"/>
    <x v="0"/>
    <x v="4"/>
    <x v="0"/>
    <x v="0"/>
    <x v="0"/>
    <x v="0"/>
    <x v="1"/>
  </r>
  <r>
    <x v="35"/>
    <x v="31"/>
    <x v="0"/>
    <x v="2"/>
    <x v="5"/>
    <x v="1"/>
    <x v="1"/>
    <x v="1"/>
    <x v="0"/>
    <x v="3"/>
  </r>
  <r>
    <x v="36"/>
    <x v="32"/>
    <x v="0"/>
    <x v="0"/>
    <x v="1"/>
    <x v="1"/>
    <x v="1"/>
    <x v="1"/>
    <x v="0"/>
    <x v="2"/>
  </r>
  <r>
    <x v="37"/>
    <x v="8"/>
    <x v="0"/>
    <x v="1"/>
    <x v="0"/>
    <x v="1"/>
    <x v="1"/>
    <x v="1"/>
    <x v="0"/>
    <x v="2"/>
  </r>
  <r>
    <x v="38"/>
    <x v="33"/>
    <x v="0"/>
    <x v="1"/>
    <x v="3"/>
    <x v="1"/>
    <x v="1"/>
    <x v="1"/>
    <x v="0"/>
    <x v="2"/>
  </r>
  <r>
    <x v="39"/>
    <x v="34"/>
    <x v="1"/>
    <x v="3"/>
    <x v="3"/>
    <x v="0"/>
    <x v="0"/>
    <x v="0"/>
    <x v="0"/>
    <x v="0"/>
  </r>
  <r>
    <x v="40"/>
    <x v="2"/>
    <x v="0"/>
    <x v="3"/>
    <x v="4"/>
    <x v="1"/>
    <x v="1"/>
    <x v="1"/>
    <x v="0"/>
    <x v="1"/>
  </r>
  <r>
    <x v="41"/>
    <x v="22"/>
    <x v="0"/>
    <x v="3"/>
    <x v="3"/>
    <x v="1"/>
    <x v="1"/>
    <x v="1"/>
    <x v="0"/>
    <x v="3"/>
  </r>
  <r>
    <x v="42"/>
    <x v="6"/>
    <x v="1"/>
    <x v="0"/>
    <x v="1"/>
    <x v="1"/>
    <x v="1"/>
    <x v="1"/>
    <x v="1"/>
    <x v="3"/>
  </r>
  <r>
    <x v="43"/>
    <x v="35"/>
    <x v="1"/>
    <x v="1"/>
    <x v="1"/>
    <x v="1"/>
    <x v="1"/>
    <x v="1"/>
    <x v="0"/>
    <x v="2"/>
  </r>
  <r>
    <x v="44"/>
    <x v="15"/>
    <x v="1"/>
    <x v="2"/>
    <x v="0"/>
    <x v="1"/>
    <x v="0"/>
    <x v="1"/>
    <x v="0"/>
    <x v="1"/>
  </r>
  <r>
    <x v="45"/>
    <x v="7"/>
    <x v="0"/>
    <x v="0"/>
    <x v="5"/>
    <x v="0"/>
    <x v="1"/>
    <x v="0"/>
    <x v="1"/>
    <x v="2"/>
  </r>
  <r>
    <x v="46"/>
    <x v="36"/>
    <x v="0"/>
    <x v="1"/>
    <x v="3"/>
    <x v="1"/>
    <x v="0"/>
    <x v="1"/>
    <x v="0"/>
    <x v="3"/>
  </r>
  <r>
    <x v="47"/>
    <x v="37"/>
    <x v="1"/>
    <x v="3"/>
    <x v="3"/>
    <x v="0"/>
    <x v="0"/>
    <x v="0"/>
    <x v="0"/>
    <x v="4"/>
  </r>
  <r>
    <x v="48"/>
    <x v="30"/>
    <x v="0"/>
    <x v="2"/>
    <x v="0"/>
    <x v="1"/>
    <x v="1"/>
    <x v="1"/>
    <x v="0"/>
    <x v="1"/>
  </r>
  <r>
    <x v="49"/>
    <x v="1"/>
    <x v="1"/>
    <x v="1"/>
    <x v="5"/>
    <x v="0"/>
    <x v="0"/>
    <x v="0"/>
    <x v="0"/>
    <x v="0"/>
  </r>
  <r>
    <x v="50"/>
    <x v="25"/>
    <x v="1"/>
    <x v="0"/>
    <x v="1"/>
    <x v="1"/>
    <x v="1"/>
    <x v="1"/>
    <x v="0"/>
    <x v="1"/>
  </r>
  <r>
    <x v="51"/>
    <x v="22"/>
    <x v="1"/>
    <x v="2"/>
    <x v="1"/>
    <x v="0"/>
    <x v="0"/>
    <x v="0"/>
    <x v="0"/>
    <x v="3"/>
  </r>
  <r>
    <x v="52"/>
    <x v="0"/>
    <x v="0"/>
    <x v="1"/>
    <x v="4"/>
    <x v="0"/>
    <x v="0"/>
    <x v="0"/>
    <x v="1"/>
    <x v="0"/>
  </r>
  <r>
    <x v="53"/>
    <x v="23"/>
    <x v="1"/>
    <x v="1"/>
    <x v="2"/>
    <x v="0"/>
    <x v="0"/>
    <x v="0"/>
    <x v="0"/>
    <x v="1"/>
  </r>
  <r>
    <x v="54"/>
    <x v="9"/>
    <x v="1"/>
    <x v="2"/>
    <x v="5"/>
    <x v="1"/>
    <x v="0"/>
    <x v="1"/>
    <x v="0"/>
    <x v="3"/>
  </r>
  <r>
    <x v="55"/>
    <x v="38"/>
    <x v="0"/>
    <x v="1"/>
    <x v="5"/>
    <x v="0"/>
    <x v="0"/>
    <x v="0"/>
    <x v="2"/>
    <x v="3"/>
  </r>
  <r>
    <x v="56"/>
    <x v="31"/>
    <x v="0"/>
    <x v="2"/>
    <x v="3"/>
    <x v="1"/>
    <x v="1"/>
    <x v="1"/>
    <x v="0"/>
    <x v="3"/>
  </r>
  <r>
    <x v="57"/>
    <x v="30"/>
    <x v="1"/>
    <x v="0"/>
    <x v="4"/>
    <x v="0"/>
    <x v="0"/>
    <x v="0"/>
    <x v="0"/>
    <x v="1"/>
  </r>
  <r>
    <x v="58"/>
    <x v="33"/>
    <x v="0"/>
    <x v="2"/>
    <x v="3"/>
    <x v="0"/>
    <x v="0"/>
    <x v="0"/>
    <x v="0"/>
    <x v="2"/>
  </r>
  <r>
    <x v="59"/>
    <x v="39"/>
    <x v="0"/>
    <x v="2"/>
    <x v="1"/>
    <x v="0"/>
    <x v="0"/>
    <x v="0"/>
    <x v="0"/>
    <x v="3"/>
  </r>
  <r>
    <x v="60"/>
    <x v="25"/>
    <x v="0"/>
    <x v="3"/>
    <x v="0"/>
    <x v="0"/>
    <x v="0"/>
    <x v="0"/>
    <x v="0"/>
    <x v="1"/>
  </r>
  <r>
    <x v="61"/>
    <x v="40"/>
    <x v="1"/>
    <x v="1"/>
    <x v="1"/>
    <x v="0"/>
    <x v="0"/>
    <x v="0"/>
    <x v="0"/>
    <x v="1"/>
  </r>
  <r>
    <x v="62"/>
    <x v="29"/>
    <x v="1"/>
    <x v="0"/>
    <x v="4"/>
    <x v="0"/>
    <x v="0"/>
    <x v="0"/>
    <x v="0"/>
    <x v="1"/>
  </r>
  <r>
    <x v="63"/>
    <x v="8"/>
    <x v="1"/>
    <x v="1"/>
    <x v="5"/>
    <x v="1"/>
    <x v="1"/>
    <x v="1"/>
    <x v="0"/>
    <x v="2"/>
  </r>
  <r>
    <x v="64"/>
    <x v="38"/>
    <x v="0"/>
    <x v="2"/>
    <x v="3"/>
    <x v="1"/>
    <x v="0"/>
    <x v="1"/>
    <x v="0"/>
    <x v="3"/>
  </r>
  <r>
    <x v="65"/>
    <x v="41"/>
    <x v="1"/>
    <x v="3"/>
    <x v="2"/>
    <x v="1"/>
    <x v="0"/>
    <x v="1"/>
    <x v="0"/>
    <x v="3"/>
  </r>
  <r>
    <x v="66"/>
    <x v="42"/>
    <x v="0"/>
    <x v="3"/>
    <x v="3"/>
    <x v="1"/>
    <x v="1"/>
    <x v="1"/>
    <x v="0"/>
    <x v="2"/>
  </r>
  <r>
    <x v="67"/>
    <x v="40"/>
    <x v="1"/>
    <x v="2"/>
    <x v="5"/>
    <x v="0"/>
    <x v="0"/>
    <x v="0"/>
    <x v="0"/>
    <x v="1"/>
  </r>
  <r>
    <x v="68"/>
    <x v="43"/>
    <x v="0"/>
    <x v="3"/>
    <x v="3"/>
    <x v="1"/>
    <x v="1"/>
    <x v="1"/>
    <x v="0"/>
    <x v="2"/>
  </r>
  <r>
    <x v="69"/>
    <x v="1"/>
    <x v="1"/>
    <x v="0"/>
    <x v="2"/>
    <x v="0"/>
    <x v="0"/>
    <x v="0"/>
    <x v="0"/>
    <x v="0"/>
  </r>
  <r>
    <x v="70"/>
    <x v="18"/>
    <x v="0"/>
    <x v="3"/>
    <x v="5"/>
    <x v="0"/>
    <x v="0"/>
    <x v="0"/>
    <x v="0"/>
    <x v="0"/>
  </r>
  <r>
    <x v="71"/>
    <x v="8"/>
    <x v="0"/>
    <x v="1"/>
    <x v="0"/>
    <x v="0"/>
    <x v="1"/>
    <x v="0"/>
    <x v="0"/>
    <x v="2"/>
  </r>
  <r>
    <x v="72"/>
    <x v="22"/>
    <x v="0"/>
    <x v="2"/>
    <x v="1"/>
    <x v="1"/>
    <x v="1"/>
    <x v="1"/>
    <x v="0"/>
    <x v="3"/>
  </r>
  <r>
    <x v="73"/>
    <x v="18"/>
    <x v="0"/>
    <x v="0"/>
    <x v="4"/>
    <x v="1"/>
    <x v="0"/>
    <x v="1"/>
    <x v="0"/>
    <x v="0"/>
  </r>
  <r>
    <x v="74"/>
    <x v="43"/>
    <x v="1"/>
    <x v="0"/>
    <x v="3"/>
    <x v="0"/>
    <x v="0"/>
    <x v="0"/>
    <x v="0"/>
    <x v="2"/>
  </r>
  <r>
    <x v="75"/>
    <x v="44"/>
    <x v="0"/>
    <x v="0"/>
    <x v="5"/>
    <x v="1"/>
    <x v="1"/>
    <x v="1"/>
    <x v="0"/>
    <x v="2"/>
  </r>
  <r>
    <x v="76"/>
    <x v="45"/>
    <x v="0"/>
    <x v="3"/>
    <x v="1"/>
    <x v="0"/>
    <x v="0"/>
    <x v="0"/>
    <x v="0"/>
    <x v="2"/>
  </r>
  <r>
    <x v="77"/>
    <x v="46"/>
    <x v="0"/>
    <x v="0"/>
    <x v="2"/>
    <x v="0"/>
    <x v="0"/>
    <x v="0"/>
    <x v="0"/>
    <x v="3"/>
  </r>
  <r>
    <x v="78"/>
    <x v="47"/>
    <x v="0"/>
    <x v="3"/>
    <x v="0"/>
    <x v="1"/>
    <x v="1"/>
    <x v="1"/>
    <x v="1"/>
    <x v="1"/>
  </r>
  <r>
    <x v="79"/>
    <x v="0"/>
    <x v="0"/>
    <x v="0"/>
    <x v="4"/>
    <x v="0"/>
    <x v="0"/>
    <x v="0"/>
    <x v="0"/>
    <x v="0"/>
  </r>
  <r>
    <x v="80"/>
    <x v="12"/>
    <x v="1"/>
    <x v="2"/>
    <x v="4"/>
    <x v="0"/>
    <x v="0"/>
    <x v="0"/>
    <x v="0"/>
    <x v="2"/>
  </r>
  <r>
    <x v="81"/>
    <x v="5"/>
    <x v="1"/>
    <x v="0"/>
    <x v="3"/>
    <x v="0"/>
    <x v="0"/>
    <x v="0"/>
    <x v="0"/>
    <x v="1"/>
  </r>
  <r>
    <x v="82"/>
    <x v="37"/>
    <x v="0"/>
    <x v="1"/>
    <x v="2"/>
    <x v="0"/>
    <x v="0"/>
    <x v="0"/>
    <x v="0"/>
    <x v="4"/>
  </r>
  <r>
    <x v="83"/>
    <x v="26"/>
    <x v="1"/>
    <x v="2"/>
    <x v="2"/>
    <x v="1"/>
    <x v="0"/>
    <x v="1"/>
    <x v="0"/>
    <x v="2"/>
  </r>
  <r>
    <x v="84"/>
    <x v="35"/>
    <x v="1"/>
    <x v="0"/>
    <x v="3"/>
    <x v="0"/>
    <x v="0"/>
    <x v="0"/>
    <x v="0"/>
    <x v="2"/>
  </r>
  <r>
    <x v="85"/>
    <x v="35"/>
    <x v="1"/>
    <x v="0"/>
    <x v="1"/>
    <x v="1"/>
    <x v="1"/>
    <x v="1"/>
    <x v="0"/>
    <x v="2"/>
  </r>
  <r>
    <x v="86"/>
    <x v="3"/>
    <x v="0"/>
    <x v="2"/>
    <x v="5"/>
    <x v="1"/>
    <x v="0"/>
    <x v="1"/>
    <x v="0"/>
    <x v="2"/>
  </r>
  <r>
    <x v="87"/>
    <x v="14"/>
    <x v="0"/>
    <x v="1"/>
    <x v="4"/>
    <x v="0"/>
    <x v="0"/>
    <x v="0"/>
    <x v="0"/>
    <x v="2"/>
  </r>
  <r>
    <x v="88"/>
    <x v="48"/>
    <x v="0"/>
    <x v="0"/>
    <x v="3"/>
    <x v="0"/>
    <x v="0"/>
    <x v="0"/>
    <x v="0"/>
    <x v="0"/>
  </r>
  <r>
    <x v="89"/>
    <x v="12"/>
    <x v="1"/>
    <x v="0"/>
    <x v="4"/>
    <x v="1"/>
    <x v="1"/>
    <x v="1"/>
    <x v="0"/>
    <x v="2"/>
  </r>
  <r>
    <x v="90"/>
    <x v="43"/>
    <x v="0"/>
    <x v="3"/>
    <x v="3"/>
    <x v="0"/>
    <x v="1"/>
    <x v="0"/>
    <x v="1"/>
    <x v="2"/>
  </r>
  <r>
    <x v="91"/>
    <x v="49"/>
    <x v="1"/>
    <x v="3"/>
    <x v="4"/>
    <x v="0"/>
    <x v="0"/>
    <x v="0"/>
    <x v="2"/>
    <x v="3"/>
  </r>
  <r>
    <x v="92"/>
    <x v="50"/>
    <x v="0"/>
    <x v="2"/>
    <x v="2"/>
    <x v="1"/>
    <x v="1"/>
    <x v="1"/>
    <x v="0"/>
    <x v="3"/>
  </r>
  <r>
    <x v="93"/>
    <x v="51"/>
    <x v="0"/>
    <x v="0"/>
    <x v="4"/>
    <x v="1"/>
    <x v="0"/>
    <x v="1"/>
    <x v="0"/>
    <x v="2"/>
  </r>
  <r>
    <x v="94"/>
    <x v="52"/>
    <x v="0"/>
    <x v="1"/>
    <x v="2"/>
    <x v="0"/>
    <x v="0"/>
    <x v="0"/>
    <x v="1"/>
    <x v="0"/>
  </r>
  <r>
    <x v="95"/>
    <x v="53"/>
    <x v="0"/>
    <x v="1"/>
    <x v="0"/>
    <x v="0"/>
    <x v="0"/>
    <x v="0"/>
    <x v="0"/>
    <x v="3"/>
  </r>
  <r>
    <x v="96"/>
    <x v="17"/>
    <x v="1"/>
    <x v="2"/>
    <x v="1"/>
    <x v="1"/>
    <x v="1"/>
    <x v="1"/>
    <x v="0"/>
    <x v="2"/>
  </r>
  <r>
    <x v="97"/>
    <x v="54"/>
    <x v="1"/>
    <x v="1"/>
    <x v="3"/>
    <x v="0"/>
    <x v="0"/>
    <x v="0"/>
    <x v="0"/>
    <x v="1"/>
  </r>
  <r>
    <x v="98"/>
    <x v="42"/>
    <x v="0"/>
    <x v="3"/>
    <x v="3"/>
    <x v="0"/>
    <x v="0"/>
    <x v="0"/>
    <x v="0"/>
    <x v="2"/>
  </r>
  <r>
    <x v="99"/>
    <x v="55"/>
    <x v="0"/>
    <x v="2"/>
    <x v="3"/>
    <x v="0"/>
    <x v="0"/>
    <x v="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9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7" firstHeaderRow="1" firstDataRow="2" firstDataCol="1"/>
  <pivotFields count="9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0" firstHeaderRow="1" firstDataRow="2" firstDataCol="1"/>
  <pivotFields count="10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axis="axisRow" compact="0" showAll="0">
      <items count="6">
        <item x="4"/>
        <item x="1"/>
        <item x="0"/>
        <item x="2"/>
        <item x="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10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workbookViewId="0">
      <selection activeCell="Q11" sqref="Q11"/>
    </sheetView>
  </sheetViews>
  <sheetFormatPr defaultColWidth="9" defaultRowHeight="14.5"/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>
        <v>20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>
        <v>24</v>
      </c>
      <c r="C3" t="s">
        <v>10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 t="s">
        <v>19</v>
      </c>
      <c r="B4">
        <v>12</v>
      </c>
      <c r="C4" t="s">
        <v>10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  <c r="I4" t="s">
        <v>21</v>
      </c>
    </row>
    <row r="5" spans="1:9">
      <c r="A5" t="s">
        <v>22</v>
      </c>
      <c r="B5">
        <v>29</v>
      </c>
      <c r="C5" t="s">
        <v>10</v>
      </c>
      <c r="D5" t="s">
        <v>20</v>
      </c>
      <c r="E5" t="s">
        <v>23</v>
      </c>
      <c r="F5" t="s">
        <v>13</v>
      </c>
      <c r="G5" t="s">
        <v>14</v>
      </c>
      <c r="H5" t="s">
        <v>15</v>
      </c>
      <c r="I5" t="s">
        <v>16</v>
      </c>
    </row>
    <row r="6" spans="1:9">
      <c r="A6" t="s">
        <v>24</v>
      </c>
      <c r="B6">
        <v>48</v>
      </c>
      <c r="C6" t="s">
        <v>25</v>
      </c>
      <c r="D6" t="s">
        <v>18</v>
      </c>
      <c r="E6" t="s">
        <v>26</v>
      </c>
      <c r="F6" t="s">
        <v>27</v>
      </c>
      <c r="G6" t="s">
        <v>28</v>
      </c>
      <c r="H6" t="s">
        <v>29</v>
      </c>
      <c r="I6" t="s">
        <v>16</v>
      </c>
    </row>
    <row r="7" spans="1:9">
      <c r="A7" t="s">
        <v>30</v>
      </c>
      <c r="B7">
        <v>14</v>
      </c>
      <c r="C7" t="s">
        <v>10</v>
      </c>
      <c r="D7" t="s">
        <v>18</v>
      </c>
      <c r="E7" t="s">
        <v>23</v>
      </c>
      <c r="F7" t="s">
        <v>27</v>
      </c>
      <c r="G7" t="s">
        <v>14</v>
      </c>
      <c r="H7" t="s">
        <v>29</v>
      </c>
      <c r="I7" t="s">
        <v>16</v>
      </c>
    </row>
    <row r="8" spans="1:9">
      <c r="A8" t="s">
        <v>31</v>
      </c>
      <c r="B8">
        <v>59</v>
      </c>
      <c r="C8" t="s">
        <v>10</v>
      </c>
      <c r="D8" t="s">
        <v>20</v>
      </c>
      <c r="E8" t="s">
        <v>26</v>
      </c>
      <c r="F8" t="s">
        <v>27</v>
      </c>
      <c r="G8" t="s">
        <v>28</v>
      </c>
      <c r="H8" t="s">
        <v>29</v>
      </c>
      <c r="I8" t="s">
        <v>21</v>
      </c>
    </row>
    <row r="9" spans="1:9">
      <c r="A9" t="s">
        <v>32</v>
      </c>
      <c r="B9">
        <v>32</v>
      </c>
      <c r="C9" t="s">
        <v>10</v>
      </c>
      <c r="D9" t="s">
        <v>20</v>
      </c>
      <c r="E9" t="s">
        <v>33</v>
      </c>
      <c r="F9" t="s">
        <v>13</v>
      </c>
      <c r="G9" t="s">
        <v>14</v>
      </c>
      <c r="H9" t="s">
        <v>15</v>
      </c>
      <c r="I9" t="s">
        <v>34</v>
      </c>
    </row>
    <row r="10" spans="1:9">
      <c r="A10" t="s">
        <v>35</v>
      </c>
      <c r="B10">
        <v>20</v>
      </c>
      <c r="C10" t="s">
        <v>10</v>
      </c>
      <c r="D10" t="s">
        <v>20</v>
      </c>
      <c r="E10" t="s">
        <v>12</v>
      </c>
      <c r="F10" t="s">
        <v>27</v>
      </c>
      <c r="G10" t="s">
        <v>28</v>
      </c>
      <c r="H10" t="s">
        <v>29</v>
      </c>
      <c r="I10" t="s">
        <v>16</v>
      </c>
    </row>
    <row r="11" spans="1:9">
      <c r="A11" t="s">
        <v>36</v>
      </c>
      <c r="B11">
        <v>44</v>
      </c>
      <c r="C11" t="s">
        <v>10</v>
      </c>
      <c r="D11" t="s">
        <v>20</v>
      </c>
      <c r="E11" t="s">
        <v>33</v>
      </c>
      <c r="F11" t="s">
        <v>27</v>
      </c>
      <c r="G11" t="s">
        <v>28</v>
      </c>
      <c r="H11" t="s">
        <v>29</v>
      </c>
      <c r="I11" t="s">
        <v>16</v>
      </c>
    </row>
    <row r="12" spans="1:9">
      <c r="A12" t="s">
        <v>37</v>
      </c>
      <c r="B12">
        <v>55</v>
      </c>
      <c r="C12" t="s">
        <v>25</v>
      </c>
      <c r="D12" t="s">
        <v>20</v>
      </c>
      <c r="E12" t="s">
        <v>38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 t="s">
        <v>39</v>
      </c>
      <c r="B13" t="s">
        <v>40</v>
      </c>
      <c r="C13" t="s">
        <v>10</v>
      </c>
      <c r="D13" t="s">
        <v>18</v>
      </c>
      <c r="E13" t="s">
        <v>12</v>
      </c>
      <c r="F13" t="s">
        <v>13</v>
      </c>
      <c r="G13" t="s">
        <v>28</v>
      </c>
      <c r="H13" t="s">
        <v>15</v>
      </c>
      <c r="I13" t="s">
        <v>16</v>
      </c>
    </row>
    <row r="14" spans="1:9">
      <c r="A14" t="s">
        <v>41</v>
      </c>
      <c r="B14">
        <v>30</v>
      </c>
      <c r="C14" t="s">
        <v>25</v>
      </c>
      <c r="D14" t="s">
        <v>20</v>
      </c>
      <c r="E14" t="s">
        <v>38</v>
      </c>
      <c r="F14" t="s">
        <v>27</v>
      </c>
      <c r="G14" t="s">
        <v>28</v>
      </c>
      <c r="H14" t="s">
        <v>29</v>
      </c>
      <c r="I14" t="s">
        <v>16</v>
      </c>
    </row>
    <row r="15" spans="1:9">
      <c r="A15" t="s">
        <v>42</v>
      </c>
      <c r="B15">
        <v>37</v>
      </c>
      <c r="C15" t="s">
        <v>25</v>
      </c>
      <c r="D15" t="s">
        <v>43</v>
      </c>
      <c r="E15" t="s">
        <v>26</v>
      </c>
      <c r="F15" t="s">
        <v>27</v>
      </c>
      <c r="G15" t="s">
        <v>28</v>
      </c>
      <c r="H15" t="s">
        <v>29</v>
      </c>
      <c r="I15" t="s">
        <v>21</v>
      </c>
    </row>
    <row r="16" spans="1:9">
      <c r="A16" t="s">
        <v>44</v>
      </c>
      <c r="B16">
        <v>34</v>
      </c>
      <c r="C16" t="s">
        <v>10</v>
      </c>
      <c r="D16" t="s">
        <v>20</v>
      </c>
      <c r="E16" t="s">
        <v>12</v>
      </c>
      <c r="F16" t="s">
        <v>27</v>
      </c>
      <c r="G16" t="s">
        <v>28</v>
      </c>
      <c r="H16" t="s">
        <v>29</v>
      </c>
      <c r="I16" t="s">
        <v>16</v>
      </c>
    </row>
    <row r="17" spans="1:9">
      <c r="A17" t="s">
        <v>45</v>
      </c>
      <c r="B17">
        <v>35</v>
      </c>
      <c r="C17" t="s">
        <v>25</v>
      </c>
      <c r="D17" t="s">
        <v>11</v>
      </c>
      <c r="E17" t="s">
        <v>46</v>
      </c>
      <c r="F17" t="s">
        <v>13</v>
      </c>
      <c r="G17" t="s">
        <v>28</v>
      </c>
      <c r="H17" t="s">
        <v>15</v>
      </c>
      <c r="I17" t="s">
        <v>16</v>
      </c>
    </row>
    <row r="18" spans="1:9">
      <c r="A18" t="s">
        <v>47</v>
      </c>
      <c r="B18">
        <v>4</v>
      </c>
      <c r="C18" t="s">
        <v>25</v>
      </c>
      <c r="D18" t="s">
        <v>43</v>
      </c>
      <c r="E18" t="s">
        <v>46</v>
      </c>
      <c r="F18" t="s">
        <v>27</v>
      </c>
      <c r="G18" t="s">
        <v>14</v>
      </c>
      <c r="H18" t="s">
        <v>29</v>
      </c>
      <c r="I18" t="s">
        <v>21</v>
      </c>
    </row>
    <row r="19" spans="1:9">
      <c r="A19" t="s">
        <v>48</v>
      </c>
      <c r="B19">
        <v>21</v>
      </c>
      <c r="C19" t="s">
        <v>10</v>
      </c>
      <c r="D19" t="s">
        <v>43</v>
      </c>
      <c r="E19" t="s">
        <v>38</v>
      </c>
      <c r="F19" t="s">
        <v>27</v>
      </c>
      <c r="G19" t="s">
        <v>14</v>
      </c>
      <c r="H19" t="s">
        <v>29</v>
      </c>
      <c r="I19" t="s">
        <v>16</v>
      </c>
    </row>
    <row r="20" spans="1:9">
      <c r="A20" t="s">
        <v>49</v>
      </c>
      <c r="B20">
        <v>33</v>
      </c>
      <c r="C20" t="s">
        <v>25</v>
      </c>
      <c r="D20" t="s">
        <v>11</v>
      </c>
      <c r="E20" t="s">
        <v>23</v>
      </c>
      <c r="F20" t="s">
        <v>27</v>
      </c>
      <c r="G20" t="s">
        <v>14</v>
      </c>
      <c r="H20" t="s">
        <v>29</v>
      </c>
      <c r="I20" t="s">
        <v>16</v>
      </c>
    </row>
    <row r="21" spans="1:9">
      <c r="A21" t="s">
        <v>50</v>
      </c>
      <c r="B21">
        <v>17</v>
      </c>
      <c r="C21" t="s">
        <v>25</v>
      </c>
      <c r="D21" t="s">
        <v>43</v>
      </c>
      <c r="E21" t="s">
        <v>26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 t="s">
        <v>51</v>
      </c>
      <c r="B22">
        <v>26</v>
      </c>
      <c r="C22" t="s">
        <v>52</v>
      </c>
      <c r="D22" t="s">
        <v>18</v>
      </c>
      <c r="E22" t="s">
        <v>12</v>
      </c>
      <c r="F22" t="s">
        <v>27</v>
      </c>
      <c r="G22" t="s">
        <v>14</v>
      </c>
      <c r="H22" t="s">
        <v>29</v>
      </c>
      <c r="I22" t="s">
        <v>16</v>
      </c>
    </row>
    <row r="23" spans="1:9">
      <c r="A23" t="s">
        <v>53</v>
      </c>
      <c r="B23">
        <v>43</v>
      </c>
      <c r="C23" t="s">
        <v>25</v>
      </c>
      <c r="D23" t="s">
        <v>43</v>
      </c>
      <c r="E23" t="s">
        <v>33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 t="s">
        <v>54</v>
      </c>
      <c r="B24">
        <v>57</v>
      </c>
      <c r="C24" t="s">
        <v>10</v>
      </c>
      <c r="D24" t="s">
        <v>43</v>
      </c>
      <c r="E24" t="s">
        <v>33</v>
      </c>
      <c r="F24" t="s">
        <v>27</v>
      </c>
      <c r="G24" t="s">
        <v>28</v>
      </c>
      <c r="H24" t="s">
        <v>29</v>
      </c>
      <c r="I24" t="s">
        <v>16</v>
      </c>
    </row>
    <row r="25" spans="1:9">
      <c r="A25" t="s">
        <v>55</v>
      </c>
      <c r="B25">
        <v>4</v>
      </c>
      <c r="C25" t="s">
        <v>10</v>
      </c>
      <c r="D25" t="s">
        <v>43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 t="s">
        <v>56</v>
      </c>
      <c r="B26">
        <v>60</v>
      </c>
      <c r="C26" t="s">
        <v>10</v>
      </c>
      <c r="D26" t="s">
        <v>20</v>
      </c>
      <c r="E26" t="s">
        <v>38</v>
      </c>
      <c r="F26" t="s">
        <v>27</v>
      </c>
      <c r="G26" t="s">
        <v>28</v>
      </c>
      <c r="H26" t="s">
        <v>29</v>
      </c>
      <c r="I26" t="s">
        <v>16</v>
      </c>
    </row>
    <row r="27" spans="1:9">
      <c r="A27" t="s">
        <v>57</v>
      </c>
      <c r="B27">
        <v>17</v>
      </c>
      <c r="C27" t="s">
        <v>10</v>
      </c>
      <c r="D27" t="s">
        <v>18</v>
      </c>
      <c r="E27" t="s">
        <v>33</v>
      </c>
      <c r="F27" t="s">
        <v>27</v>
      </c>
      <c r="G27" t="s">
        <v>14</v>
      </c>
      <c r="H27" t="s">
        <v>29</v>
      </c>
      <c r="I27" t="s">
        <v>21</v>
      </c>
    </row>
    <row r="28" spans="1:9">
      <c r="A28" t="s">
        <v>58</v>
      </c>
      <c r="B28">
        <v>1</v>
      </c>
      <c r="C28" t="s">
        <v>10</v>
      </c>
      <c r="D28" t="s">
        <v>43</v>
      </c>
      <c r="E28" t="s">
        <v>46</v>
      </c>
      <c r="F28" t="s">
        <v>27</v>
      </c>
      <c r="G28" t="s">
        <v>28</v>
      </c>
      <c r="H28" t="s">
        <v>29</v>
      </c>
      <c r="I28" t="s">
        <v>16</v>
      </c>
    </row>
    <row r="29" spans="1:9">
      <c r="A29" t="s">
        <v>59</v>
      </c>
      <c r="B29">
        <v>59</v>
      </c>
      <c r="C29" t="s">
        <v>10</v>
      </c>
      <c r="D29" t="s">
        <v>18</v>
      </c>
      <c r="E29" t="s">
        <v>38</v>
      </c>
      <c r="F29" t="s">
        <v>27</v>
      </c>
      <c r="G29" t="s">
        <v>14</v>
      </c>
      <c r="H29" t="s">
        <v>29</v>
      </c>
      <c r="I29" t="s">
        <v>16</v>
      </c>
    </row>
    <row r="30" spans="1:9">
      <c r="A30" t="s">
        <v>60</v>
      </c>
      <c r="B30">
        <v>6</v>
      </c>
      <c r="C30" t="s">
        <v>25</v>
      </c>
      <c r="D30" t="s">
        <v>18</v>
      </c>
      <c r="E30" t="s">
        <v>12</v>
      </c>
      <c r="F30" t="s">
        <v>13</v>
      </c>
      <c r="G30" t="s">
        <v>28</v>
      </c>
      <c r="H30" t="s">
        <v>15</v>
      </c>
      <c r="I30" t="s">
        <v>16</v>
      </c>
    </row>
    <row r="31" spans="1:9">
      <c r="A31" t="s">
        <v>61</v>
      </c>
      <c r="B31">
        <v>7</v>
      </c>
      <c r="C31" t="s">
        <v>10</v>
      </c>
      <c r="D31" t="s">
        <v>20</v>
      </c>
      <c r="E31" t="s">
        <v>23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 t="s">
        <v>62</v>
      </c>
      <c r="B32">
        <v>39</v>
      </c>
      <c r="C32" t="s">
        <v>10</v>
      </c>
      <c r="D32" t="s">
        <v>11</v>
      </c>
      <c r="E32" t="s">
        <v>38</v>
      </c>
      <c r="F32" t="s">
        <v>13</v>
      </c>
      <c r="G32" t="s">
        <v>14</v>
      </c>
      <c r="H32" t="s">
        <v>15</v>
      </c>
      <c r="I32" t="s">
        <v>21</v>
      </c>
    </row>
    <row r="33" spans="1:9">
      <c r="A33" t="s">
        <v>63</v>
      </c>
      <c r="B33">
        <v>68</v>
      </c>
      <c r="C33" t="s">
        <v>25</v>
      </c>
      <c r="D33" t="s">
        <v>20</v>
      </c>
      <c r="E33" t="s">
        <v>46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 t="s">
        <v>64</v>
      </c>
      <c r="B34">
        <v>22</v>
      </c>
      <c r="C34" t="s">
        <v>25</v>
      </c>
      <c r="D34" t="s">
        <v>11</v>
      </c>
      <c r="E34" t="s">
        <v>38</v>
      </c>
      <c r="F34" t="s">
        <v>27</v>
      </c>
      <c r="G34" t="s">
        <v>28</v>
      </c>
      <c r="H34" t="s">
        <v>29</v>
      </c>
      <c r="I34" t="s">
        <v>16</v>
      </c>
    </row>
    <row r="35" spans="1:9">
      <c r="A35" t="s">
        <v>65</v>
      </c>
      <c r="B35">
        <v>2</v>
      </c>
      <c r="C35" t="s">
        <v>10</v>
      </c>
      <c r="D35" t="s">
        <v>43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 t="s">
        <v>66</v>
      </c>
      <c r="B36">
        <v>11</v>
      </c>
      <c r="C36" t="s">
        <v>25</v>
      </c>
      <c r="D36" t="s">
        <v>11</v>
      </c>
      <c r="E36" t="s">
        <v>38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 t="s">
        <v>67</v>
      </c>
      <c r="B37">
        <v>62</v>
      </c>
      <c r="C37" t="s">
        <v>10</v>
      </c>
      <c r="D37" t="s">
        <v>68</v>
      </c>
      <c r="E37" t="s">
        <v>46</v>
      </c>
      <c r="F37" t="s">
        <v>27</v>
      </c>
      <c r="G37" t="s">
        <v>28</v>
      </c>
      <c r="H37" t="s">
        <v>29</v>
      </c>
      <c r="I37" t="s">
        <v>16</v>
      </c>
    </row>
    <row r="38" spans="1:9">
      <c r="A38" t="s">
        <v>69</v>
      </c>
      <c r="B38">
        <v>40</v>
      </c>
      <c r="C38" t="s">
        <v>10</v>
      </c>
      <c r="D38" t="s">
        <v>11</v>
      </c>
      <c r="E38" t="s">
        <v>23</v>
      </c>
      <c r="F38" t="s">
        <v>27</v>
      </c>
      <c r="G38" t="s">
        <v>28</v>
      </c>
      <c r="H38" t="s">
        <v>29</v>
      </c>
      <c r="I38" t="s">
        <v>16</v>
      </c>
    </row>
    <row r="39" spans="1:9">
      <c r="A39" t="s">
        <v>70</v>
      </c>
      <c r="B39">
        <v>44</v>
      </c>
      <c r="C39" t="s">
        <v>10</v>
      </c>
      <c r="D39" t="s">
        <v>18</v>
      </c>
      <c r="E39" t="s">
        <v>12</v>
      </c>
      <c r="F39" t="s">
        <v>27</v>
      </c>
      <c r="G39" t="s">
        <v>28</v>
      </c>
      <c r="H39" t="s">
        <v>29</v>
      </c>
      <c r="I39" t="s">
        <v>16</v>
      </c>
    </row>
    <row r="40" spans="1:9">
      <c r="A40" t="s">
        <v>71</v>
      </c>
      <c r="B40">
        <v>27</v>
      </c>
      <c r="C40" t="s">
        <v>10</v>
      </c>
      <c r="D40" t="s">
        <v>18</v>
      </c>
      <c r="E40" t="s">
        <v>33</v>
      </c>
      <c r="F40" t="s">
        <v>27</v>
      </c>
      <c r="G40" t="s">
        <v>28</v>
      </c>
      <c r="H40" t="s">
        <v>29</v>
      </c>
      <c r="I40" t="s">
        <v>16</v>
      </c>
    </row>
    <row r="41" spans="1:9">
      <c r="A41" t="s">
        <v>72</v>
      </c>
      <c r="B41">
        <v>16</v>
      </c>
      <c r="C41" t="s">
        <v>25</v>
      </c>
      <c r="D41" t="s">
        <v>43</v>
      </c>
      <c r="E41" t="s">
        <v>33</v>
      </c>
      <c r="F41" t="s">
        <v>13</v>
      </c>
      <c r="G41" t="s">
        <v>14</v>
      </c>
      <c r="H41" t="s">
        <v>15</v>
      </c>
      <c r="I41" t="s">
        <v>16</v>
      </c>
    </row>
    <row r="42" spans="1:9">
      <c r="A42" t="s">
        <v>73</v>
      </c>
      <c r="B42">
        <v>12</v>
      </c>
      <c r="C42" t="s">
        <v>10</v>
      </c>
      <c r="D42" t="s">
        <v>43</v>
      </c>
      <c r="E42" t="s">
        <v>38</v>
      </c>
      <c r="F42" t="s">
        <v>27</v>
      </c>
      <c r="G42" t="s">
        <v>28</v>
      </c>
      <c r="H42" t="s">
        <v>29</v>
      </c>
      <c r="I42" t="s">
        <v>16</v>
      </c>
    </row>
    <row r="43" spans="1:9">
      <c r="A43" t="s">
        <v>74</v>
      </c>
      <c r="B43">
        <v>60</v>
      </c>
      <c r="C43" t="s">
        <v>10</v>
      </c>
      <c r="D43" t="s">
        <v>43</v>
      </c>
      <c r="E43" t="s">
        <v>33</v>
      </c>
      <c r="F43" t="s">
        <v>27</v>
      </c>
      <c r="G43" t="s">
        <v>28</v>
      </c>
      <c r="H43" t="s">
        <v>29</v>
      </c>
      <c r="I43" t="s">
        <v>16</v>
      </c>
    </row>
    <row r="44" spans="1:9">
      <c r="A44" t="s">
        <v>75</v>
      </c>
      <c r="B44">
        <v>59</v>
      </c>
      <c r="C44" t="s">
        <v>25</v>
      </c>
      <c r="D44" t="s">
        <v>11</v>
      </c>
      <c r="E44" t="s">
        <v>23</v>
      </c>
      <c r="F44" t="s">
        <v>27</v>
      </c>
      <c r="G44" t="s">
        <v>28</v>
      </c>
      <c r="H44" t="s">
        <v>29</v>
      </c>
      <c r="I44" t="s">
        <v>21</v>
      </c>
    </row>
    <row r="45" spans="1:9">
      <c r="A45" t="s">
        <v>76</v>
      </c>
      <c r="B45">
        <v>25</v>
      </c>
      <c r="C45" t="s">
        <v>25</v>
      </c>
      <c r="D45" t="s">
        <v>18</v>
      </c>
      <c r="E45" t="s">
        <v>23</v>
      </c>
      <c r="F45" t="s">
        <v>27</v>
      </c>
      <c r="G45" t="s">
        <v>28</v>
      </c>
      <c r="H45" t="s">
        <v>29</v>
      </c>
      <c r="I45" t="s">
        <v>16</v>
      </c>
    </row>
    <row r="46" spans="1:9">
      <c r="A46" t="s">
        <v>77</v>
      </c>
      <c r="B46">
        <v>4</v>
      </c>
      <c r="C46" t="s">
        <v>25</v>
      </c>
      <c r="D46" t="s">
        <v>20</v>
      </c>
      <c r="E46" t="s">
        <v>12</v>
      </c>
      <c r="F46" t="s">
        <v>27</v>
      </c>
      <c r="G46" t="s">
        <v>14</v>
      </c>
      <c r="H46" t="s">
        <v>29</v>
      </c>
      <c r="I46" t="s">
        <v>16</v>
      </c>
    </row>
    <row r="47" spans="1:9">
      <c r="A47" t="s">
        <v>78</v>
      </c>
      <c r="B47">
        <v>32</v>
      </c>
      <c r="C47" t="s">
        <v>10</v>
      </c>
      <c r="D47" t="s">
        <v>11</v>
      </c>
      <c r="E47" t="s">
        <v>46</v>
      </c>
      <c r="F47" t="s">
        <v>13</v>
      </c>
      <c r="G47" t="s">
        <v>28</v>
      </c>
      <c r="H47" t="s">
        <v>15</v>
      </c>
      <c r="I47" t="s">
        <v>21</v>
      </c>
    </row>
    <row r="48" spans="1:9">
      <c r="A48" t="s">
        <v>79</v>
      </c>
      <c r="B48">
        <v>47</v>
      </c>
      <c r="C48" t="s">
        <v>10</v>
      </c>
      <c r="D48" t="s">
        <v>18</v>
      </c>
      <c r="E48" t="s">
        <v>33</v>
      </c>
      <c r="F48" t="s">
        <v>27</v>
      </c>
      <c r="G48" t="s">
        <v>14</v>
      </c>
      <c r="H48" t="s">
        <v>29</v>
      </c>
      <c r="I48" t="s">
        <v>16</v>
      </c>
    </row>
    <row r="49" spans="1:9">
      <c r="A49" t="s">
        <v>80</v>
      </c>
      <c r="B49" t="s">
        <v>40</v>
      </c>
      <c r="C49" t="s">
        <v>25</v>
      </c>
      <c r="D49" t="s">
        <v>43</v>
      </c>
      <c r="E49" t="s">
        <v>33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 t="s">
        <v>81</v>
      </c>
      <c r="B50">
        <v>11</v>
      </c>
      <c r="C50" t="s">
        <v>10</v>
      </c>
      <c r="D50" t="s">
        <v>20</v>
      </c>
      <c r="E50" t="s">
        <v>12</v>
      </c>
      <c r="F50" t="s">
        <v>27</v>
      </c>
      <c r="G50" t="s">
        <v>28</v>
      </c>
      <c r="H50" t="s">
        <v>29</v>
      </c>
      <c r="I50" t="s">
        <v>16</v>
      </c>
    </row>
    <row r="51" spans="1:9">
      <c r="A51" t="s">
        <v>82</v>
      </c>
      <c r="B51">
        <v>24</v>
      </c>
      <c r="C51" t="s">
        <v>25</v>
      </c>
      <c r="D51" t="s">
        <v>18</v>
      </c>
      <c r="E51" t="s">
        <v>46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 t="s">
        <v>83</v>
      </c>
      <c r="B52">
        <v>7</v>
      </c>
      <c r="C52" t="s">
        <v>25</v>
      </c>
      <c r="D52" t="s">
        <v>11</v>
      </c>
      <c r="E52" t="s">
        <v>23</v>
      </c>
      <c r="F52" t="s">
        <v>27</v>
      </c>
      <c r="G52" t="s">
        <v>28</v>
      </c>
      <c r="H52" t="s">
        <v>29</v>
      </c>
      <c r="I52" t="s">
        <v>16</v>
      </c>
    </row>
    <row r="53" spans="1:9">
      <c r="A53" t="s">
        <v>84</v>
      </c>
      <c r="B53">
        <v>60</v>
      </c>
      <c r="C53" t="s">
        <v>25</v>
      </c>
      <c r="D53" t="s">
        <v>20</v>
      </c>
      <c r="E53" t="s">
        <v>23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 t="s">
        <v>85</v>
      </c>
      <c r="B54">
        <v>20</v>
      </c>
      <c r="C54" t="s">
        <v>10</v>
      </c>
      <c r="D54" t="s">
        <v>18</v>
      </c>
      <c r="E54" t="s">
        <v>38</v>
      </c>
      <c r="F54" t="s">
        <v>13</v>
      </c>
      <c r="G54" t="s">
        <v>14</v>
      </c>
      <c r="H54" t="s">
        <v>15</v>
      </c>
      <c r="I54" t="s">
        <v>21</v>
      </c>
    </row>
    <row r="55" spans="1:9">
      <c r="A55" t="s">
        <v>86</v>
      </c>
      <c r="B55">
        <v>1</v>
      </c>
      <c r="C55" t="s">
        <v>25</v>
      </c>
      <c r="D55" t="s">
        <v>18</v>
      </c>
      <c r="E55" t="s">
        <v>26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 t="s">
        <v>87</v>
      </c>
      <c r="B56">
        <v>55</v>
      </c>
      <c r="C56" t="s">
        <v>25</v>
      </c>
      <c r="D56" t="s">
        <v>20</v>
      </c>
      <c r="E56" t="s">
        <v>46</v>
      </c>
      <c r="F56" t="s">
        <v>27</v>
      </c>
      <c r="G56" t="s">
        <v>14</v>
      </c>
      <c r="H56" t="s">
        <v>29</v>
      </c>
      <c r="I56" t="s">
        <v>16</v>
      </c>
    </row>
    <row r="57" spans="1:9">
      <c r="A57" t="s">
        <v>88</v>
      </c>
      <c r="B57">
        <v>54</v>
      </c>
      <c r="C57" t="s">
        <v>10</v>
      </c>
      <c r="D57" t="s">
        <v>18</v>
      </c>
      <c r="E57" t="s">
        <v>46</v>
      </c>
      <c r="F57" t="s">
        <v>13</v>
      </c>
      <c r="G57" t="s">
        <v>14</v>
      </c>
      <c r="H57" t="s">
        <v>15</v>
      </c>
      <c r="I57" t="s">
        <v>34</v>
      </c>
    </row>
    <row r="58" spans="1:9">
      <c r="A58" t="s">
        <v>89</v>
      </c>
      <c r="B58">
        <v>62</v>
      </c>
      <c r="C58" t="s">
        <v>10</v>
      </c>
      <c r="D58" t="s">
        <v>20</v>
      </c>
      <c r="E58" t="s">
        <v>33</v>
      </c>
      <c r="F58" t="s">
        <v>27</v>
      </c>
      <c r="G58" t="s">
        <v>28</v>
      </c>
      <c r="H58" t="s">
        <v>29</v>
      </c>
      <c r="I58" t="s">
        <v>16</v>
      </c>
    </row>
    <row r="59" spans="1:9">
      <c r="A59" t="s">
        <v>90</v>
      </c>
      <c r="B59">
        <v>11</v>
      </c>
      <c r="C59" t="s">
        <v>25</v>
      </c>
      <c r="D59" t="s">
        <v>11</v>
      </c>
      <c r="E59" t="s">
        <v>38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 t="s">
        <v>91</v>
      </c>
      <c r="B60">
        <v>27</v>
      </c>
      <c r="C60" t="s">
        <v>10</v>
      </c>
      <c r="D60" t="s">
        <v>20</v>
      </c>
      <c r="E60" t="s">
        <v>33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 t="s">
        <v>92</v>
      </c>
      <c r="B61">
        <v>51</v>
      </c>
      <c r="C61" t="s">
        <v>10</v>
      </c>
      <c r="D61" t="s">
        <v>20</v>
      </c>
      <c r="E61" t="s">
        <v>23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 t="s">
        <v>93</v>
      </c>
      <c r="B62">
        <v>7</v>
      </c>
      <c r="C62" t="s">
        <v>10</v>
      </c>
      <c r="D62" t="s">
        <v>43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 t="s">
        <v>94</v>
      </c>
      <c r="B63">
        <v>5</v>
      </c>
      <c r="C63" t="s">
        <v>95</v>
      </c>
      <c r="D63" t="s">
        <v>18</v>
      </c>
      <c r="E63" t="s">
        <v>23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 t="s">
        <v>96</v>
      </c>
      <c r="B64">
        <v>2</v>
      </c>
      <c r="C64" t="s">
        <v>25</v>
      </c>
      <c r="D64" t="s">
        <v>11</v>
      </c>
      <c r="E64" t="s">
        <v>38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 t="s">
        <v>97</v>
      </c>
      <c r="B65">
        <v>44</v>
      </c>
      <c r="C65" t="s">
        <v>25</v>
      </c>
      <c r="D65" t="s">
        <v>18</v>
      </c>
      <c r="E65" t="s">
        <v>46</v>
      </c>
      <c r="F65" t="s">
        <v>27</v>
      </c>
      <c r="G65" t="s">
        <v>28</v>
      </c>
      <c r="H65" t="s">
        <v>29</v>
      </c>
      <c r="I65" t="s">
        <v>16</v>
      </c>
    </row>
    <row r="66" spans="1:9">
      <c r="A66" t="s">
        <v>98</v>
      </c>
      <c r="B66">
        <v>54</v>
      </c>
      <c r="C66" t="s">
        <v>10</v>
      </c>
      <c r="D66" t="s">
        <v>20</v>
      </c>
      <c r="E66" t="s">
        <v>33</v>
      </c>
      <c r="F66" t="s">
        <v>27</v>
      </c>
      <c r="G66" t="s">
        <v>14</v>
      </c>
      <c r="H66" t="s">
        <v>29</v>
      </c>
      <c r="I66" t="s">
        <v>16</v>
      </c>
    </row>
    <row r="67" spans="1:9">
      <c r="A67" t="s">
        <v>99</v>
      </c>
      <c r="B67">
        <v>46</v>
      </c>
      <c r="C67" t="s">
        <v>25</v>
      </c>
      <c r="D67" t="s">
        <v>43</v>
      </c>
      <c r="E67" t="s">
        <v>26</v>
      </c>
      <c r="F67" t="s">
        <v>27</v>
      </c>
      <c r="G67" t="s">
        <v>14</v>
      </c>
      <c r="H67" t="s">
        <v>29</v>
      </c>
      <c r="I67" t="s">
        <v>16</v>
      </c>
    </row>
    <row r="68" spans="1:9">
      <c r="A68" t="s">
        <v>100</v>
      </c>
      <c r="B68">
        <v>42</v>
      </c>
      <c r="C68" t="s">
        <v>10</v>
      </c>
      <c r="D68" t="s">
        <v>43</v>
      </c>
      <c r="E68" t="s">
        <v>33</v>
      </c>
      <c r="F68" t="s">
        <v>27</v>
      </c>
      <c r="G68" t="s">
        <v>28</v>
      </c>
      <c r="H68" t="s">
        <v>29</v>
      </c>
      <c r="I68" t="s">
        <v>16</v>
      </c>
    </row>
    <row r="69" spans="1:9">
      <c r="A69" t="s">
        <v>101</v>
      </c>
      <c r="B69">
        <v>5</v>
      </c>
      <c r="C69" t="s">
        <v>25</v>
      </c>
      <c r="D69" t="s">
        <v>20</v>
      </c>
      <c r="E69" t="s">
        <v>46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 t="s">
        <v>102</v>
      </c>
      <c r="B70">
        <v>41</v>
      </c>
      <c r="C70" t="s">
        <v>10</v>
      </c>
      <c r="D70" t="s">
        <v>43</v>
      </c>
      <c r="E70" t="s">
        <v>33</v>
      </c>
      <c r="F70" t="s">
        <v>27</v>
      </c>
      <c r="G70" t="s">
        <v>28</v>
      </c>
      <c r="H70" t="s">
        <v>29</v>
      </c>
      <c r="I70" t="s">
        <v>16</v>
      </c>
    </row>
    <row r="71" spans="1:9">
      <c r="A71" t="s">
        <v>103</v>
      </c>
      <c r="B71">
        <v>24</v>
      </c>
      <c r="C71" t="s">
        <v>25</v>
      </c>
      <c r="D71" t="s">
        <v>11</v>
      </c>
      <c r="E71" t="s">
        <v>26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 t="s">
        <v>104</v>
      </c>
      <c r="B72">
        <v>17</v>
      </c>
      <c r="C72" t="s">
        <v>10</v>
      </c>
      <c r="D72" t="s">
        <v>43</v>
      </c>
      <c r="E72" t="s">
        <v>46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 t="s">
        <v>105</v>
      </c>
      <c r="B73">
        <v>44</v>
      </c>
      <c r="C73" t="s">
        <v>10</v>
      </c>
      <c r="D73" t="s">
        <v>18</v>
      </c>
      <c r="E73" t="s">
        <v>12</v>
      </c>
      <c r="F73" t="s">
        <v>13</v>
      </c>
      <c r="G73" t="s">
        <v>28</v>
      </c>
      <c r="H73" t="s">
        <v>15</v>
      </c>
      <c r="I73" t="s">
        <v>16</v>
      </c>
    </row>
    <row r="74" spans="1:9">
      <c r="A74" t="s">
        <v>106</v>
      </c>
      <c r="B74">
        <v>60</v>
      </c>
      <c r="C74" t="s">
        <v>10</v>
      </c>
      <c r="D74" t="s">
        <v>20</v>
      </c>
      <c r="E74" t="s">
        <v>23</v>
      </c>
      <c r="F74" t="s">
        <v>27</v>
      </c>
      <c r="G74" t="s">
        <v>28</v>
      </c>
      <c r="H74" t="s">
        <v>29</v>
      </c>
      <c r="I74" t="s">
        <v>16</v>
      </c>
    </row>
    <row r="75" spans="1:9">
      <c r="A75" t="s">
        <v>107</v>
      </c>
      <c r="B75">
        <v>17</v>
      </c>
      <c r="C75" t="s">
        <v>10</v>
      </c>
      <c r="D75" t="s">
        <v>108</v>
      </c>
      <c r="E75" t="s">
        <v>38</v>
      </c>
      <c r="F75" t="s">
        <v>27</v>
      </c>
      <c r="G75" t="s">
        <v>14</v>
      </c>
      <c r="H75" t="s">
        <v>29</v>
      </c>
      <c r="I75" t="s">
        <v>16</v>
      </c>
    </row>
    <row r="76" spans="1:9">
      <c r="A76" t="s">
        <v>109</v>
      </c>
      <c r="B76">
        <v>41</v>
      </c>
      <c r="C76" t="s">
        <v>25</v>
      </c>
      <c r="D76" t="s">
        <v>11</v>
      </c>
      <c r="E76" t="s">
        <v>33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 t="s">
        <v>110</v>
      </c>
      <c r="B77">
        <v>36</v>
      </c>
      <c r="C77" t="s">
        <v>10</v>
      </c>
      <c r="D77" t="s">
        <v>11</v>
      </c>
      <c r="E77" t="s">
        <v>46</v>
      </c>
      <c r="F77" t="s">
        <v>27</v>
      </c>
      <c r="G77" t="s">
        <v>28</v>
      </c>
      <c r="H77" t="s">
        <v>29</v>
      </c>
      <c r="I77" t="s">
        <v>16</v>
      </c>
    </row>
    <row r="78" spans="1:9">
      <c r="A78" t="s">
        <v>111</v>
      </c>
      <c r="B78">
        <v>31</v>
      </c>
      <c r="C78" t="s">
        <v>10</v>
      </c>
      <c r="D78" t="s">
        <v>43</v>
      </c>
      <c r="E78" t="s">
        <v>23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 t="s">
        <v>112</v>
      </c>
      <c r="B79">
        <v>64</v>
      </c>
      <c r="C79" t="s">
        <v>10</v>
      </c>
      <c r="D79" t="s">
        <v>11</v>
      </c>
      <c r="E79" t="s">
        <v>26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 t="s">
        <v>113</v>
      </c>
      <c r="B80">
        <v>13</v>
      </c>
      <c r="C80" t="s">
        <v>10</v>
      </c>
      <c r="D80" t="s">
        <v>43</v>
      </c>
      <c r="E80" t="s">
        <v>12</v>
      </c>
      <c r="F80" t="s">
        <v>27</v>
      </c>
      <c r="G80" t="s">
        <v>28</v>
      </c>
      <c r="H80" t="s">
        <v>29</v>
      </c>
      <c r="I80" t="s">
        <v>21</v>
      </c>
    </row>
    <row r="81" spans="1:9">
      <c r="A81" t="s">
        <v>114</v>
      </c>
      <c r="B81">
        <v>20</v>
      </c>
      <c r="C81" t="s">
        <v>10</v>
      </c>
      <c r="D81" t="s">
        <v>11</v>
      </c>
      <c r="E81" t="s">
        <v>38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 t="s">
        <v>115</v>
      </c>
      <c r="B82">
        <v>37</v>
      </c>
      <c r="C82" t="s">
        <v>25</v>
      </c>
      <c r="D82" t="s">
        <v>20</v>
      </c>
      <c r="E82" t="s">
        <v>38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 t="s">
        <v>116</v>
      </c>
      <c r="B83">
        <v>14</v>
      </c>
      <c r="C83" t="s">
        <v>25</v>
      </c>
      <c r="D83" t="s">
        <v>11</v>
      </c>
      <c r="E83" t="s">
        <v>33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 t="s">
        <v>117</v>
      </c>
      <c r="B84" t="s">
        <v>40</v>
      </c>
      <c r="C84" t="s">
        <v>10</v>
      </c>
      <c r="D84" t="s">
        <v>18</v>
      </c>
      <c r="E84" t="s">
        <v>26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 t="s">
        <v>118</v>
      </c>
      <c r="B85">
        <v>39</v>
      </c>
      <c r="C85" t="s">
        <v>25</v>
      </c>
      <c r="D85" t="s">
        <v>20</v>
      </c>
      <c r="E85" t="s">
        <v>26</v>
      </c>
      <c r="F85" t="s">
        <v>27</v>
      </c>
      <c r="G85" t="s">
        <v>14</v>
      </c>
      <c r="H85" t="s">
        <v>29</v>
      </c>
      <c r="I85" t="s">
        <v>16</v>
      </c>
    </row>
    <row r="86" spans="1:9">
      <c r="A86" t="s">
        <v>119</v>
      </c>
      <c r="B86">
        <v>25</v>
      </c>
      <c r="C86" t="s">
        <v>25</v>
      </c>
      <c r="D86" t="s">
        <v>11</v>
      </c>
      <c r="E86" t="s">
        <v>33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 t="s">
        <v>120</v>
      </c>
      <c r="B87">
        <v>25</v>
      </c>
      <c r="C87" t="s">
        <v>25</v>
      </c>
      <c r="D87" t="s">
        <v>11</v>
      </c>
      <c r="E87" t="s">
        <v>23</v>
      </c>
      <c r="F87" t="s">
        <v>27</v>
      </c>
      <c r="G87" t="s">
        <v>28</v>
      </c>
      <c r="H87" t="s">
        <v>29</v>
      </c>
      <c r="I87" t="s">
        <v>16</v>
      </c>
    </row>
    <row r="88" spans="1:9">
      <c r="A88" t="s">
        <v>121</v>
      </c>
      <c r="B88">
        <v>29</v>
      </c>
      <c r="C88" t="s">
        <v>10</v>
      </c>
      <c r="D88" t="s">
        <v>20</v>
      </c>
      <c r="E88" t="s">
        <v>46</v>
      </c>
      <c r="F88" t="s">
        <v>27</v>
      </c>
      <c r="G88" t="s">
        <v>14</v>
      </c>
      <c r="H88" t="s">
        <v>29</v>
      </c>
      <c r="I88" t="s">
        <v>16</v>
      </c>
    </row>
    <row r="89" spans="1:9">
      <c r="A89" t="s">
        <v>122</v>
      </c>
      <c r="B89">
        <v>35</v>
      </c>
      <c r="C89" t="s">
        <v>10</v>
      </c>
      <c r="D89" t="s">
        <v>18</v>
      </c>
      <c r="E89" t="s">
        <v>38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 t="s">
        <v>123</v>
      </c>
      <c r="B90">
        <v>19</v>
      </c>
      <c r="C90" t="s">
        <v>10</v>
      </c>
      <c r="D90" t="s">
        <v>11</v>
      </c>
      <c r="E90" t="s">
        <v>33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 t="s">
        <v>124</v>
      </c>
      <c r="B91">
        <v>37</v>
      </c>
      <c r="C91" t="s">
        <v>25</v>
      </c>
      <c r="D91" t="s">
        <v>11</v>
      </c>
      <c r="E91" t="s">
        <v>38</v>
      </c>
      <c r="F91" t="s">
        <v>27</v>
      </c>
      <c r="G91" t="s">
        <v>28</v>
      </c>
      <c r="H91" t="s">
        <v>29</v>
      </c>
      <c r="I91" t="s">
        <v>16</v>
      </c>
    </row>
    <row r="92" spans="1:9">
      <c r="A92" t="s">
        <v>125</v>
      </c>
      <c r="B92">
        <v>41</v>
      </c>
      <c r="C92" t="s">
        <v>10</v>
      </c>
      <c r="D92" t="s">
        <v>43</v>
      </c>
      <c r="E92" t="s">
        <v>33</v>
      </c>
      <c r="F92" t="s">
        <v>13</v>
      </c>
      <c r="G92" t="s">
        <v>28</v>
      </c>
      <c r="H92" t="s">
        <v>15</v>
      </c>
      <c r="I92" t="s">
        <v>21</v>
      </c>
    </row>
    <row r="93" spans="1:9">
      <c r="A93" t="s">
        <v>126</v>
      </c>
      <c r="B93">
        <v>49</v>
      </c>
      <c r="C93" t="s">
        <v>25</v>
      </c>
      <c r="D93" t="s">
        <v>43</v>
      </c>
      <c r="E93" t="s">
        <v>38</v>
      </c>
      <c r="F93" t="s">
        <v>13</v>
      </c>
      <c r="G93" t="s">
        <v>14</v>
      </c>
      <c r="H93" t="s">
        <v>15</v>
      </c>
      <c r="I93" t="s">
        <v>34</v>
      </c>
    </row>
    <row r="94" spans="1:9">
      <c r="A94" t="s">
        <v>127</v>
      </c>
      <c r="B94">
        <v>58</v>
      </c>
      <c r="C94" t="s">
        <v>10</v>
      </c>
      <c r="D94" t="s">
        <v>20</v>
      </c>
      <c r="E94" t="s">
        <v>26</v>
      </c>
      <c r="F94" t="s">
        <v>27</v>
      </c>
      <c r="G94" t="s">
        <v>28</v>
      </c>
      <c r="H94" t="s">
        <v>29</v>
      </c>
      <c r="I94" t="s">
        <v>16</v>
      </c>
    </row>
    <row r="95" spans="1:9">
      <c r="A95" t="s">
        <v>128</v>
      </c>
      <c r="B95">
        <v>38</v>
      </c>
      <c r="C95" t="s">
        <v>10</v>
      </c>
      <c r="D95" t="s">
        <v>11</v>
      </c>
      <c r="E95" t="s">
        <v>38</v>
      </c>
      <c r="F95" t="s">
        <v>27</v>
      </c>
      <c r="G95" t="s">
        <v>14</v>
      </c>
      <c r="H95" t="s">
        <v>29</v>
      </c>
      <c r="I95" t="s">
        <v>16</v>
      </c>
    </row>
    <row r="96" spans="1:9">
      <c r="A96" t="s">
        <v>129</v>
      </c>
      <c r="B96">
        <v>15</v>
      </c>
      <c r="C96" t="s">
        <v>10</v>
      </c>
      <c r="D96" t="s">
        <v>18</v>
      </c>
      <c r="E96" t="s">
        <v>26</v>
      </c>
      <c r="F96" t="s">
        <v>13</v>
      </c>
      <c r="G96" t="s">
        <v>14</v>
      </c>
      <c r="H96" t="s">
        <v>15</v>
      </c>
      <c r="I96" t="s">
        <v>21</v>
      </c>
    </row>
    <row r="97" spans="1:9">
      <c r="A97" t="s">
        <v>130</v>
      </c>
      <c r="B97">
        <v>50</v>
      </c>
      <c r="C97" t="s">
        <v>10</v>
      </c>
      <c r="D97" t="s">
        <v>18</v>
      </c>
      <c r="E97" t="s">
        <v>12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 t="s">
        <v>131</v>
      </c>
      <c r="B98">
        <v>33</v>
      </c>
      <c r="C98" t="s">
        <v>25</v>
      </c>
      <c r="D98" t="s">
        <v>20</v>
      </c>
      <c r="E98" t="s">
        <v>23</v>
      </c>
      <c r="F98" t="s">
        <v>27</v>
      </c>
      <c r="G98" t="s">
        <v>28</v>
      </c>
      <c r="H98" t="s">
        <v>29</v>
      </c>
      <c r="I98" t="s">
        <v>16</v>
      </c>
    </row>
    <row r="99" spans="1:9">
      <c r="A99" t="s">
        <v>132</v>
      </c>
      <c r="B99">
        <v>8</v>
      </c>
      <c r="C99" t="s">
        <v>25</v>
      </c>
      <c r="D99" t="s">
        <v>18</v>
      </c>
      <c r="E99" t="s">
        <v>33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 t="s">
        <v>133</v>
      </c>
      <c r="B100">
        <v>42</v>
      </c>
      <c r="C100" t="s">
        <v>10</v>
      </c>
      <c r="D100" t="s">
        <v>43</v>
      </c>
      <c r="E100" t="s">
        <v>33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 t="s">
        <v>134</v>
      </c>
      <c r="B101">
        <v>53</v>
      </c>
      <c r="C101" t="s">
        <v>10</v>
      </c>
      <c r="D101" t="s">
        <v>20</v>
      </c>
      <c r="E101" t="s">
        <v>33</v>
      </c>
      <c r="F101" t="s">
        <v>13</v>
      </c>
      <c r="G101" t="s">
        <v>14</v>
      </c>
      <c r="H101" t="s">
        <v>15</v>
      </c>
      <c r="I101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6"/>
  <sheetViews>
    <sheetView workbookViewId="0">
      <selection activeCell="B10" sqref="B10"/>
    </sheetView>
  </sheetViews>
  <sheetFormatPr defaultColWidth="8.72727272727273" defaultRowHeight="14.5" outlineLevelRow="5" outlineLevelCol="4"/>
  <cols>
    <col min="1" max="1" width="14.8181818181818"/>
    <col min="2" max="2" width="19.2727272727273"/>
    <col min="4" max="4" width="21.1818181818182" customWidth="1"/>
  </cols>
  <sheetData>
    <row r="3" spans="1:5">
      <c r="A3" t="s">
        <v>5</v>
      </c>
      <c r="B3" t="s">
        <v>135</v>
      </c>
      <c r="D3" t="s">
        <v>136</v>
      </c>
      <c r="E3" s="7">
        <v>0.52</v>
      </c>
    </row>
    <row r="4" spans="1:5">
      <c r="A4" t="s">
        <v>27</v>
      </c>
      <c r="B4">
        <v>48</v>
      </c>
    </row>
    <row r="5" spans="1:5">
      <c r="A5" t="s">
        <v>13</v>
      </c>
      <c r="B5">
        <v>52</v>
      </c>
    </row>
    <row r="6" spans="1:5">
      <c r="A6" t="s">
        <v>137</v>
      </c>
      <c r="B6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7"/>
  <sheetViews>
    <sheetView topLeftCell="C1" workbookViewId="0">
      <selection activeCell="L2" sqref="L2"/>
    </sheetView>
  </sheetViews>
  <sheetFormatPr defaultColWidth="8.72727272727273" defaultRowHeight="14.5" outlineLevelRow="6"/>
  <cols>
    <col min="1" max="1" width="19.2727272727273"/>
    <col min="2" max="3" width="14.7272727272727"/>
    <col min="4" max="4" width="11.5454545454545"/>
    <col min="7" max="7" width="13.4545454545455" customWidth="1"/>
    <col min="8" max="8" width="11.8181818181818" customWidth="1"/>
    <col min="9" max="9" width="12.2727272727273" customWidth="1"/>
  </cols>
  <sheetData>
    <row r="3" spans="1:9">
      <c r="A3" t="s">
        <v>135</v>
      </c>
      <c r="B3" t="s">
        <v>5</v>
      </c>
      <c r="F3" t="s">
        <v>2</v>
      </c>
      <c r="G3" t="s">
        <v>138</v>
      </c>
      <c r="H3" t="s">
        <v>139</v>
      </c>
      <c r="I3" t="s">
        <v>140</v>
      </c>
    </row>
    <row r="4" spans="1:9">
      <c r="A4" t="s">
        <v>2</v>
      </c>
      <c r="B4" t="s">
        <v>27</v>
      </c>
      <c r="C4" t="s">
        <v>13</v>
      </c>
      <c r="D4" t="s">
        <v>137</v>
      </c>
      <c r="F4" t="s">
        <v>10</v>
      </c>
      <c r="G4">
        <v>29</v>
      </c>
      <c r="H4">
        <v>60</v>
      </c>
      <c r="I4" s="6">
        <f>G4/H4</f>
        <v>0.483333333333333</v>
      </c>
    </row>
    <row r="5" spans="1:9">
      <c r="A5" t="s">
        <v>10</v>
      </c>
      <c r="B5">
        <v>31</v>
      </c>
      <c r="C5">
        <v>29</v>
      </c>
      <c r="D5">
        <v>60</v>
      </c>
      <c r="F5" t="s">
        <v>25</v>
      </c>
      <c r="G5">
        <v>23</v>
      </c>
      <c r="H5">
        <v>40</v>
      </c>
      <c r="I5" s="6">
        <f>G5/H5</f>
        <v>0.575</v>
      </c>
    </row>
    <row r="6" spans="1:9">
      <c r="A6" t="s">
        <v>25</v>
      </c>
      <c r="B6">
        <v>17</v>
      </c>
      <c r="C6">
        <v>23</v>
      </c>
      <c r="D6">
        <v>40</v>
      </c>
      <c r="I6" s="6"/>
    </row>
    <row r="7" spans="1:9">
      <c r="A7" t="s">
        <v>137</v>
      </c>
      <c r="B7">
        <v>48</v>
      </c>
      <c r="C7">
        <v>52</v>
      </c>
      <c r="D7">
        <v>100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0"/>
  <sheetViews>
    <sheetView tabSelected="1" workbookViewId="0">
      <selection activeCell="I11" sqref="I11"/>
    </sheetView>
  </sheetViews>
  <sheetFormatPr defaultColWidth="8.72727272727273" defaultRowHeight="14.5"/>
  <cols>
    <col min="1" max="1" width="19.2727272727273"/>
    <col min="2" max="3" width="14.7272727272727"/>
    <col min="4" max="4" width="11.5454545454545"/>
    <col min="6" max="6" width="11.4545454545455" customWidth="1"/>
    <col min="7" max="7" width="13.6363636363636" customWidth="1"/>
    <col min="8" max="8" width="12.1818181818182" customWidth="1"/>
    <col min="9" max="9" width="12.8181818181818"/>
  </cols>
  <sheetData>
    <row r="3" spans="1:9">
      <c r="A3" t="s">
        <v>135</v>
      </c>
      <c r="B3" t="s">
        <v>5</v>
      </c>
    </row>
    <row r="4" spans="1:9">
      <c r="A4" t="s">
        <v>141</v>
      </c>
      <c r="B4" t="s">
        <v>27</v>
      </c>
      <c r="C4" t="s">
        <v>13</v>
      </c>
      <c r="D4" t="s">
        <v>137</v>
      </c>
      <c r="F4" t="s">
        <v>141</v>
      </c>
      <c r="G4" t="s">
        <v>142</v>
      </c>
      <c r="H4" t="s">
        <v>143</v>
      </c>
    </row>
    <row r="5" spans="1:9">
      <c r="C5">
        <v>3</v>
      </c>
      <c r="D5">
        <v>3</v>
      </c>
      <c r="F5" t="s">
        <v>144</v>
      </c>
      <c r="G5">
        <v>14</v>
      </c>
      <c r="H5">
        <v>22</v>
      </c>
      <c r="I5" s="5">
        <f>G5/H5</f>
        <v>0.636363636363636</v>
      </c>
    </row>
    <row r="6" spans="1:9">
      <c r="A6" t="s">
        <v>145</v>
      </c>
      <c r="B6">
        <v>8</v>
      </c>
      <c r="C6">
        <v>14</v>
      </c>
      <c r="D6">
        <v>22</v>
      </c>
      <c r="F6" t="s">
        <v>146</v>
      </c>
      <c r="G6">
        <v>11</v>
      </c>
      <c r="H6">
        <v>16</v>
      </c>
      <c r="I6" s="5">
        <f>G6/H6</f>
        <v>0.6875</v>
      </c>
    </row>
    <row r="7" spans="1:9">
      <c r="A7" t="s">
        <v>146</v>
      </c>
      <c r="B7">
        <v>5</v>
      </c>
      <c r="C7">
        <v>11</v>
      </c>
      <c r="D7">
        <v>16</v>
      </c>
      <c r="F7" t="s">
        <v>147</v>
      </c>
      <c r="G7">
        <v>15</v>
      </c>
      <c r="H7">
        <v>35</v>
      </c>
      <c r="I7" s="5">
        <f>G7/H7</f>
        <v>0.428571428571429</v>
      </c>
    </row>
    <row r="8" spans="1:9">
      <c r="A8" t="s">
        <v>147</v>
      </c>
      <c r="B8">
        <v>20</v>
      </c>
      <c r="C8">
        <v>15</v>
      </c>
      <c r="D8">
        <v>35</v>
      </c>
      <c r="F8" t="s">
        <v>148</v>
      </c>
      <c r="G8">
        <v>9</v>
      </c>
      <c r="H8">
        <v>24</v>
      </c>
      <c r="I8" s="5">
        <f>G8/H8</f>
        <v>0.375</v>
      </c>
    </row>
    <row r="9" spans="1:9">
      <c r="A9" t="s">
        <v>148</v>
      </c>
      <c r="B9">
        <v>15</v>
      </c>
      <c r="C9">
        <v>9</v>
      </c>
      <c r="D9">
        <v>24</v>
      </c>
    </row>
    <row r="10" spans="1:9">
      <c r="A10" t="s">
        <v>137</v>
      </c>
      <c r="B10">
        <v>48</v>
      </c>
      <c r="C10">
        <v>52</v>
      </c>
      <c r="D10">
        <v>100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9"/>
  <sheetViews>
    <sheetView workbookViewId="0">
      <selection activeCell="H5" sqref="H5:H8"/>
    </sheetView>
  </sheetViews>
  <sheetFormatPr defaultColWidth="8.72727272727273" defaultRowHeight="14.5" outlineLevelCol="7"/>
  <cols>
    <col min="1" max="1" width="19.2727272727273"/>
    <col min="2" max="3" width="14.7272727272727"/>
    <col min="4" max="4" width="11.5454545454545"/>
    <col min="5" max="5" width="13.2727272727273" customWidth="1"/>
    <col min="6" max="6" width="13.5454545454545" customWidth="1"/>
    <col min="7" max="7" width="12.2727272727273" customWidth="1"/>
    <col min="8" max="8" width="13.3636363636364" customWidth="1"/>
  </cols>
  <sheetData>
    <row r="3" spans="1:8">
      <c r="A3" t="s">
        <v>135</v>
      </c>
      <c r="B3" t="s">
        <v>5</v>
      </c>
    </row>
    <row r="4" spans="1:8">
      <c r="A4" t="s">
        <v>3</v>
      </c>
      <c r="B4" t="s">
        <v>27</v>
      </c>
      <c r="C4" t="s">
        <v>13</v>
      </c>
      <c r="D4" t="s">
        <v>137</v>
      </c>
      <c r="E4" t="s">
        <v>3</v>
      </c>
      <c r="F4" t="s">
        <v>149</v>
      </c>
      <c r="G4" t="s">
        <v>150</v>
      </c>
      <c r="H4" t="s">
        <v>151</v>
      </c>
    </row>
    <row r="5" spans="1:8">
      <c r="A5" t="s">
        <v>11</v>
      </c>
      <c r="B5">
        <v>10</v>
      </c>
      <c r="C5">
        <v>14</v>
      </c>
      <c r="D5">
        <v>24</v>
      </c>
      <c r="E5" t="s">
        <v>11</v>
      </c>
      <c r="F5">
        <v>14</v>
      </c>
      <c r="G5">
        <v>24</v>
      </c>
      <c r="H5" s="5">
        <f>F5/G5</f>
        <v>0.583333333333333</v>
      </c>
    </row>
    <row r="6" spans="1:8">
      <c r="A6" t="s">
        <v>18</v>
      </c>
      <c r="B6">
        <v>10</v>
      </c>
      <c r="C6">
        <v>14</v>
      </c>
      <c r="D6">
        <v>24</v>
      </c>
      <c r="E6" t="s">
        <v>18</v>
      </c>
      <c r="F6">
        <v>14</v>
      </c>
      <c r="G6">
        <v>24</v>
      </c>
      <c r="H6" s="5">
        <f>F6/G6</f>
        <v>0.583333333333333</v>
      </c>
    </row>
    <row r="7" spans="1:8">
      <c r="A7" t="s">
        <v>20</v>
      </c>
      <c r="B7">
        <v>17</v>
      </c>
      <c r="C7">
        <v>12</v>
      </c>
      <c r="D7">
        <v>29</v>
      </c>
      <c r="E7" t="s">
        <v>20</v>
      </c>
      <c r="F7">
        <v>12</v>
      </c>
      <c r="G7">
        <v>29</v>
      </c>
      <c r="H7" s="5">
        <f>F7/G7</f>
        <v>0.413793103448276</v>
      </c>
    </row>
    <row r="8" spans="1:8">
      <c r="A8" t="s">
        <v>43</v>
      </c>
      <c r="B8">
        <v>11</v>
      </c>
      <c r="C8">
        <v>12</v>
      </c>
      <c r="D8">
        <v>23</v>
      </c>
      <c r="E8" t="s">
        <v>43</v>
      </c>
      <c r="F8">
        <v>12</v>
      </c>
      <c r="G8">
        <v>23</v>
      </c>
      <c r="H8" s="5">
        <f>F8/G8</f>
        <v>0.521739130434783</v>
      </c>
    </row>
    <row r="9" spans="1:8">
      <c r="A9" t="s">
        <v>137</v>
      </c>
      <c r="B9">
        <v>48</v>
      </c>
      <c r="C9">
        <v>52</v>
      </c>
      <c r="D9">
        <v>100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workbookViewId="0">
      <selection activeCell="P15" sqref="P15"/>
    </sheetView>
  </sheetViews>
  <sheetFormatPr defaultColWidth="9" defaultRowHeight="14.5"/>
  <cols>
    <col min="4" max="4" width="16.1818181818182" customWidth="1"/>
    <col min="10" max="10" width="12.0909090909091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141</v>
      </c>
    </row>
    <row r="2" spans="1:10">
      <c r="A2" t="s">
        <v>9</v>
      </c>
      <c r="B2">
        <v>20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tr">
        <f>IF(B2="","",IF(B2&lt;=14,"0-14",IF(B2&lt;=24,"15-24",IF(B2&lt;=44,"25-44","45+"))))</f>
        <v>15-24</v>
      </c>
    </row>
    <row r="3" spans="1:10">
      <c r="A3" t="s">
        <v>17</v>
      </c>
      <c r="B3">
        <v>24</v>
      </c>
      <c r="C3" t="s">
        <v>10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tr">
        <f t="shared" ref="J3:J34" si="0">IF(B3="","",IF(B3&lt;=14,"0-14",IF(B3&lt;=24,"15-24",IF(B3&lt;=44,"25-44","45+"))))</f>
        <v>15-24</v>
      </c>
    </row>
    <row r="4" spans="1:10">
      <c r="A4" t="s">
        <v>19</v>
      </c>
      <c r="B4">
        <v>12</v>
      </c>
      <c r="C4" t="s">
        <v>10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  <c r="I4" t="s">
        <v>21</v>
      </c>
      <c r="J4" t="str">
        <f t="shared" si="0"/>
        <v>0-14</v>
      </c>
    </row>
    <row r="5" spans="1:10">
      <c r="A5" t="s">
        <v>22</v>
      </c>
      <c r="B5">
        <v>29</v>
      </c>
      <c r="C5" t="s">
        <v>10</v>
      </c>
      <c r="D5" t="s">
        <v>20</v>
      </c>
      <c r="E5" t="s">
        <v>23</v>
      </c>
      <c r="F5" t="s">
        <v>13</v>
      </c>
      <c r="G5" t="s">
        <v>14</v>
      </c>
      <c r="H5" t="s">
        <v>15</v>
      </c>
      <c r="I5" t="s">
        <v>16</v>
      </c>
      <c r="J5" t="str">
        <f t="shared" si="0"/>
        <v>25-44</v>
      </c>
    </row>
    <row r="6" spans="1:10">
      <c r="A6" t="s">
        <v>24</v>
      </c>
      <c r="B6">
        <v>48</v>
      </c>
      <c r="C6" t="s">
        <v>25</v>
      </c>
      <c r="D6" t="s">
        <v>18</v>
      </c>
      <c r="E6" t="s">
        <v>26</v>
      </c>
      <c r="F6" t="s">
        <v>27</v>
      </c>
      <c r="G6" t="s">
        <v>28</v>
      </c>
      <c r="H6" t="s">
        <v>29</v>
      </c>
      <c r="I6" t="s">
        <v>16</v>
      </c>
      <c r="J6" t="str">
        <f t="shared" si="0"/>
        <v>45+</v>
      </c>
    </row>
    <row r="7" spans="1:10">
      <c r="A7" t="s">
        <v>30</v>
      </c>
      <c r="B7">
        <v>14</v>
      </c>
      <c r="C7" t="s">
        <v>10</v>
      </c>
      <c r="D7" t="s">
        <v>18</v>
      </c>
      <c r="E7" t="s">
        <v>23</v>
      </c>
      <c r="F7" t="s">
        <v>27</v>
      </c>
      <c r="G7" t="s">
        <v>14</v>
      </c>
      <c r="H7" t="s">
        <v>29</v>
      </c>
      <c r="I7" t="s">
        <v>16</v>
      </c>
      <c r="J7" t="str">
        <f t="shared" si="0"/>
        <v>0-14</v>
      </c>
    </row>
    <row r="8" spans="1:10">
      <c r="A8" t="s">
        <v>31</v>
      </c>
      <c r="B8">
        <v>59</v>
      </c>
      <c r="C8" t="s">
        <v>10</v>
      </c>
      <c r="D8" t="s">
        <v>20</v>
      </c>
      <c r="E8" t="s">
        <v>26</v>
      </c>
      <c r="F8" t="s">
        <v>27</v>
      </c>
      <c r="G8" t="s">
        <v>28</v>
      </c>
      <c r="H8" t="s">
        <v>29</v>
      </c>
      <c r="I8" t="s">
        <v>21</v>
      </c>
      <c r="J8" t="str">
        <f t="shared" si="0"/>
        <v>45+</v>
      </c>
    </row>
    <row r="9" spans="1:10">
      <c r="A9" t="s">
        <v>32</v>
      </c>
      <c r="B9">
        <v>32</v>
      </c>
      <c r="C9" t="s">
        <v>10</v>
      </c>
      <c r="D9" t="s">
        <v>20</v>
      </c>
      <c r="E9" t="s">
        <v>33</v>
      </c>
      <c r="F9" t="s">
        <v>13</v>
      </c>
      <c r="G9" t="s">
        <v>14</v>
      </c>
      <c r="H9" t="s">
        <v>15</v>
      </c>
      <c r="I9" t="s">
        <v>34</v>
      </c>
      <c r="J9" t="str">
        <f t="shared" si="0"/>
        <v>25-44</v>
      </c>
    </row>
    <row r="10" spans="1:10">
      <c r="A10" t="s">
        <v>35</v>
      </c>
      <c r="B10">
        <v>20</v>
      </c>
      <c r="C10" t="s">
        <v>10</v>
      </c>
      <c r="D10" t="s">
        <v>20</v>
      </c>
      <c r="E10" t="s">
        <v>12</v>
      </c>
      <c r="F10" t="s">
        <v>27</v>
      </c>
      <c r="G10" t="s">
        <v>28</v>
      </c>
      <c r="H10" t="s">
        <v>29</v>
      </c>
      <c r="I10" t="s">
        <v>16</v>
      </c>
      <c r="J10" t="str">
        <f t="shared" si="0"/>
        <v>15-24</v>
      </c>
    </row>
    <row r="11" spans="1:10">
      <c r="A11" t="s">
        <v>36</v>
      </c>
      <c r="B11">
        <v>44</v>
      </c>
      <c r="C11" t="s">
        <v>10</v>
      </c>
      <c r="D11" t="s">
        <v>20</v>
      </c>
      <c r="E11" t="s">
        <v>33</v>
      </c>
      <c r="F11" t="s">
        <v>27</v>
      </c>
      <c r="G11" t="s">
        <v>28</v>
      </c>
      <c r="H11" t="s">
        <v>29</v>
      </c>
      <c r="I11" t="s">
        <v>16</v>
      </c>
      <c r="J11" t="str">
        <f t="shared" si="0"/>
        <v>25-44</v>
      </c>
    </row>
    <row r="12" spans="1:10">
      <c r="A12" t="s">
        <v>37</v>
      </c>
      <c r="B12">
        <v>55</v>
      </c>
      <c r="C12" t="s">
        <v>25</v>
      </c>
      <c r="D12" t="s">
        <v>20</v>
      </c>
      <c r="E12" t="s">
        <v>38</v>
      </c>
      <c r="F12" t="s">
        <v>13</v>
      </c>
      <c r="G12" t="s">
        <v>14</v>
      </c>
      <c r="H12" t="s">
        <v>15</v>
      </c>
      <c r="I12" t="s">
        <v>16</v>
      </c>
      <c r="J12" t="str">
        <f t="shared" si="0"/>
        <v>45+</v>
      </c>
    </row>
    <row r="13" spans="1:10">
      <c r="A13" t="s">
        <v>39</v>
      </c>
      <c r="C13" t="s">
        <v>10</v>
      </c>
      <c r="D13" t="s">
        <v>18</v>
      </c>
      <c r="E13" t="s">
        <v>12</v>
      </c>
      <c r="F13" t="s">
        <v>13</v>
      </c>
      <c r="G13" t="s">
        <v>28</v>
      </c>
      <c r="H13" t="s">
        <v>15</v>
      </c>
      <c r="I13" t="s">
        <v>16</v>
      </c>
      <c r="J13" t="str">
        <f t="shared" si="0"/>
        <v/>
      </c>
    </row>
    <row r="14" spans="1:10">
      <c r="A14" t="s">
        <v>41</v>
      </c>
      <c r="B14">
        <v>30</v>
      </c>
      <c r="C14" t="s">
        <v>25</v>
      </c>
      <c r="D14" t="s">
        <v>20</v>
      </c>
      <c r="E14" t="s">
        <v>38</v>
      </c>
      <c r="F14" t="s">
        <v>27</v>
      </c>
      <c r="G14" t="s">
        <v>28</v>
      </c>
      <c r="H14" t="s">
        <v>29</v>
      </c>
      <c r="I14" t="s">
        <v>16</v>
      </c>
      <c r="J14" t="str">
        <f t="shared" si="0"/>
        <v>25-44</v>
      </c>
    </row>
    <row r="15" spans="1:10">
      <c r="A15" t="s">
        <v>42</v>
      </c>
      <c r="B15">
        <v>37</v>
      </c>
      <c r="C15" t="s">
        <v>25</v>
      </c>
      <c r="D15" t="s">
        <v>43</v>
      </c>
      <c r="E15" t="s">
        <v>26</v>
      </c>
      <c r="F15" t="s">
        <v>27</v>
      </c>
      <c r="G15" t="s">
        <v>28</v>
      </c>
      <c r="H15" t="s">
        <v>29</v>
      </c>
      <c r="I15" t="s">
        <v>21</v>
      </c>
      <c r="J15" t="str">
        <f t="shared" si="0"/>
        <v>25-44</v>
      </c>
    </row>
    <row r="16" spans="1:10">
      <c r="A16" t="s">
        <v>44</v>
      </c>
      <c r="B16">
        <v>34</v>
      </c>
      <c r="C16" t="s">
        <v>10</v>
      </c>
      <c r="D16" t="s">
        <v>20</v>
      </c>
      <c r="E16" t="s">
        <v>12</v>
      </c>
      <c r="F16" t="s">
        <v>27</v>
      </c>
      <c r="G16" t="s">
        <v>28</v>
      </c>
      <c r="H16" t="s">
        <v>29</v>
      </c>
      <c r="I16" t="s">
        <v>16</v>
      </c>
      <c r="J16" t="str">
        <f t="shared" si="0"/>
        <v>25-44</v>
      </c>
    </row>
    <row r="17" spans="1:10">
      <c r="A17" t="s">
        <v>45</v>
      </c>
      <c r="B17">
        <v>35</v>
      </c>
      <c r="C17" t="s">
        <v>25</v>
      </c>
      <c r="D17" t="s">
        <v>11</v>
      </c>
      <c r="E17" t="s">
        <v>46</v>
      </c>
      <c r="F17" t="s">
        <v>13</v>
      </c>
      <c r="G17" t="s">
        <v>28</v>
      </c>
      <c r="H17" t="s">
        <v>15</v>
      </c>
      <c r="I17" t="s">
        <v>16</v>
      </c>
      <c r="J17" t="str">
        <f t="shared" si="0"/>
        <v>25-44</v>
      </c>
    </row>
    <row r="18" spans="1:10">
      <c r="A18" t="s">
        <v>47</v>
      </c>
      <c r="B18">
        <v>4</v>
      </c>
      <c r="C18" t="s">
        <v>25</v>
      </c>
      <c r="D18" t="s">
        <v>43</v>
      </c>
      <c r="E18" t="s">
        <v>46</v>
      </c>
      <c r="F18" t="s">
        <v>27</v>
      </c>
      <c r="G18" t="s">
        <v>14</v>
      </c>
      <c r="H18" t="s">
        <v>29</v>
      </c>
      <c r="I18" t="s">
        <v>21</v>
      </c>
      <c r="J18" t="str">
        <f t="shared" si="0"/>
        <v>0-14</v>
      </c>
    </row>
    <row r="19" spans="1:10">
      <c r="A19" t="s">
        <v>48</v>
      </c>
      <c r="B19">
        <v>21</v>
      </c>
      <c r="C19" t="s">
        <v>10</v>
      </c>
      <c r="D19" t="s">
        <v>43</v>
      </c>
      <c r="E19" t="s">
        <v>38</v>
      </c>
      <c r="F19" t="s">
        <v>27</v>
      </c>
      <c r="G19" t="s">
        <v>14</v>
      </c>
      <c r="H19" t="s">
        <v>29</v>
      </c>
      <c r="I19" t="s">
        <v>16</v>
      </c>
      <c r="J19" t="str">
        <f t="shared" si="0"/>
        <v>15-24</v>
      </c>
    </row>
    <row r="20" spans="1:10">
      <c r="A20" t="s">
        <v>49</v>
      </c>
      <c r="B20">
        <v>33</v>
      </c>
      <c r="C20" t="s">
        <v>25</v>
      </c>
      <c r="D20" t="s">
        <v>11</v>
      </c>
      <c r="E20" t="s">
        <v>23</v>
      </c>
      <c r="F20" t="s">
        <v>27</v>
      </c>
      <c r="G20" t="s">
        <v>14</v>
      </c>
      <c r="H20" t="s">
        <v>29</v>
      </c>
      <c r="I20" t="s">
        <v>16</v>
      </c>
      <c r="J20" t="str">
        <f t="shared" si="0"/>
        <v>25-44</v>
      </c>
    </row>
    <row r="21" spans="1:10">
      <c r="A21" t="s">
        <v>50</v>
      </c>
      <c r="B21">
        <v>17</v>
      </c>
      <c r="C21" t="s">
        <v>25</v>
      </c>
      <c r="D21" t="s">
        <v>43</v>
      </c>
      <c r="E21" t="s">
        <v>26</v>
      </c>
      <c r="F21" t="s">
        <v>13</v>
      </c>
      <c r="G21" t="s">
        <v>14</v>
      </c>
      <c r="H21" t="s">
        <v>15</v>
      </c>
      <c r="I21" t="s">
        <v>16</v>
      </c>
      <c r="J21" t="str">
        <f t="shared" si="0"/>
        <v>15-24</v>
      </c>
    </row>
    <row r="22" spans="1:10">
      <c r="A22" t="s">
        <v>51</v>
      </c>
      <c r="B22">
        <v>26</v>
      </c>
      <c r="C22" t="s">
        <v>10</v>
      </c>
      <c r="D22" t="s">
        <v>18</v>
      </c>
      <c r="E22" t="s">
        <v>12</v>
      </c>
      <c r="F22" t="s">
        <v>27</v>
      </c>
      <c r="G22" t="s">
        <v>14</v>
      </c>
      <c r="H22" t="s">
        <v>29</v>
      </c>
      <c r="I22" t="s">
        <v>16</v>
      </c>
      <c r="J22" t="str">
        <f t="shared" si="0"/>
        <v>25-44</v>
      </c>
    </row>
    <row r="23" spans="1:10">
      <c r="A23" t="s">
        <v>53</v>
      </c>
      <c r="B23">
        <v>43</v>
      </c>
      <c r="C23" t="s">
        <v>25</v>
      </c>
      <c r="D23" t="s">
        <v>43</v>
      </c>
      <c r="E23" t="s">
        <v>33</v>
      </c>
      <c r="F23" t="s">
        <v>13</v>
      </c>
      <c r="G23" t="s">
        <v>14</v>
      </c>
      <c r="H23" t="s">
        <v>15</v>
      </c>
      <c r="I23" t="s">
        <v>16</v>
      </c>
      <c r="J23" t="str">
        <f t="shared" si="0"/>
        <v>25-44</v>
      </c>
    </row>
    <row r="24" spans="1:10">
      <c r="A24" t="s">
        <v>54</v>
      </c>
      <c r="B24">
        <v>57</v>
      </c>
      <c r="C24" t="s">
        <v>10</v>
      </c>
      <c r="D24" t="s">
        <v>43</v>
      </c>
      <c r="E24" t="s">
        <v>33</v>
      </c>
      <c r="F24" t="s">
        <v>27</v>
      </c>
      <c r="G24" t="s">
        <v>28</v>
      </c>
      <c r="H24" t="s">
        <v>29</v>
      </c>
      <c r="I24" t="s">
        <v>16</v>
      </c>
      <c r="J24" t="str">
        <f t="shared" si="0"/>
        <v>45+</v>
      </c>
    </row>
    <row r="25" spans="1:10">
      <c r="A25" t="s">
        <v>55</v>
      </c>
      <c r="B25">
        <v>4</v>
      </c>
      <c r="C25" t="s">
        <v>10</v>
      </c>
      <c r="D25" t="s">
        <v>43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  <c r="J25" t="str">
        <f t="shared" si="0"/>
        <v>0-14</v>
      </c>
    </row>
    <row r="26" spans="1:10">
      <c r="A26" t="s">
        <v>56</v>
      </c>
      <c r="B26">
        <v>60</v>
      </c>
      <c r="C26" t="s">
        <v>10</v>
      </c>
      <c r="D26" t="s">
        <v>20</v>
      </c>
      <c r="E26" t="s">
        <v>38</v>
      </c>
      <c r="F26" t="s">
        <v>27</v>
      </c>
      <c r="G26" t="s">
        <v>28</v>
      </c>
      <c r="H26" t="s">
        <v>29</v>
      </c>
      <c r="I26" t="s">
        <v>16</v>
      </c>
      <c r="J26" t="str">
        <f t="shared" si="0"/>
        <v>45+</v>
      </c>
    </row>
    <row r="27" spans="1:10">
      <c r="A27" t="s">
        <v>57</v>
      </c>
      <c r="B27">
        <v>17</v>
      </c>
      <c r="C27" t="s">
        <v>10</v>
      </c>
      <c r="D27" t="s">
        <v>18</v>
      </c>
      <c r="E27" t="s">
        <v>33</v>
      </c>
      <c r="F27" t="s">
        <v>27</v>
      </c>
      <c r="G27" t="s">
        <v>14</v>
      </c>
      <c r="H27" t="s">
        <v>29</v>
      </c>
      <c r="I27" t="s">
        <v>21</v>
      </c>
      <c r="J27" t="str">
        <f t="shared" si="0"/>
        <v>15-24</v>
      </c>
    </row>
    <row r="28" spans="1:10">
      <c r="A28" t="s">
        <v>58</v>
      </c>
      <c r="B28">
        <v>1</v>
      </c>
      <c r="C28" t="s">
        <v>10</v>
      </c>
      <c r="D28" t="s">
        <v>43</v>
      </c>
      <c r="E28" t="s">
        <v>46</v>
      </c>
      <c r="F28" t="s">
        <v>27</v>
      </c>
      <c r="G28" t="s">
        <v>28</v>
      </c>
      <c r="H28" t="s">
        <v>29</v>
      </c>
      <c r="I28" t="s">
        <v>16</v>
      </c>
      <c r="J28" t="str">
        <f t="shared" si="0"/>
        <v>0-14</v>
      </c>
    </row>
    <row r="29" spans="1:10">
      <c r="A29" t="s">
        <v>59</v>
      </c>
      <c r="B29">
        <v>59</v>
      </c>
      <c r="C29" t="s">
        <v>10</v>
      </c>
      <c r="D29" t="s">
        <v>18</v>
      </c>
      <c r="E29" t="s">
        <v>38</v>
      </c>
      <c r="F29" t="s">
        <v>27</v>
      </c>
      <c r="G29" t="s">
        <v>14</v>
      </c>
      <c r="H29" t="s">
        <v>29</v>
      </c>
      <c r="I29" t="s">
        <v>16</v>
      </c>
      <c r="J29" t="str">
        <f t="shared" si="0"/>
        <v>45+</v>
      </c>
    </row>
    <row r="30" spans="1:10">
      <c r="A30" t="s">
        <v>60</v>
      </c>
      <c r="B30">
        <v>6</v>
      </c>
      <c r="C30" t="s">
        <v>25</v>
      </c>
      <c r="D30" t="s">
        <v>18</v>
      </c>
      <c r="E30" t="s">
        <v>12</v>
      </c>
      <c r="F30" t="s">
        <v>13</v>
      </c>
      <c r="G30" t="s">
        <v>28</v>
      </c>
      <c r="H30" t="s">
        <v>15</v>
      </c>
      <c r="I30" t="s">
        <v>16</v>
      </c>
      <c r="J30" t="str">
        <f t="shared" si="0"/>
        <v>0-14</v>
      </c>
    </row>
    <row r="31" spans="1:10">
      <c r="A31" t="s">
        <v>61</v>
      </c>
      <c r="B31">
        <v>7</v>
      </c>
      <c r="C31" t="s">
        <v>10</v>
      </c>
      <c r="D31" t="s">
        <v>20</v>
      </c>
      <c r="E31" t="s">
        <v>23</v>
      </c>
      <c r="F31" t="s">
        <v>13</v>
      </c>
      <c r="G31" t="s">
        <v>14</v>
      </c>
      <c r="H31" t="s">
        <v>15</v>
      </c>
      <c r="I31" t="s">
        <v>16</v>
      </c>
      <c r="J31" t="str">
        <f t="shared" si="0"/>
        <v>0-14</v>
      </c>
    </row>
    <row r="32" spans="1:10">
      <c r="A32" t="s">
        <v>62</v>
      </c>
      <c r="B32">
        <v>39</v>
      </c>
      <c r="C32" t="s">
        <v>10</v>
      </c>
      <c r="D32" t="s">
        <v>11</v>
      </c>
      <c r="E32" t="s">
        <v>38</v>
      </c>
      <c r="F32" t="s">
        <v>13</v>
      </c>
      <c r="G32" t="s">
        <v>14</v>
      </c>
      <c r="H32" t="s">
        <v>15</v>
      </c>
      <c r="I32" t="s">
        <v>21</v>
      </c>
      <c r="J32" t="str">
        <f t="shared" si="0"/>
        <v>25-44</v>
      </c>
    </row>
    <row r="33" spans="1:10">
      <c r="A33" t="s">
        <v>63</v>
      </c>
      <c r="B33">
        <v>68</v>
      </c>
      <c r="C33" t="s">
        <v>25</v>
      </c>
      <c r="D33" t="s">
        <v>20</v>
      </c>
      <c r="E33" t="s">
        <v>46</v>
      </c>
      <c r="F33" t="s">
        <v>13</v>
      </c>
      <c r="G33" t="s">
        <v>14</v>
      </c>
      <c r="H33" t="s">
        <v>15</v>
      </c>
      <c r="I33" t="s">
        <v>16</v>
      </c>
      <c r="J33" t="str">
        <f t="shared" si="0"/>
        <v>45+</v>
      </c>
    </row>
    <row r="34" spans="1:10">
      <c r="A34" t="s">
        <v>64</v>
      </c>
      <c r="B34">
        <v>22</v>
      </c>
      <c r="C34" t="s">
        <v>25</v>
      </c>
      <c r="D34" t="s">
        <v>11</v>
      </c>
      <c r="E34" t="s">
        <v>38</v>
      </c>
      <c r="F34" t="s">
        <v>27</v>
      </c>
      <c r="G34" t="s">
        <v>28</v>
      </c>
      <c r="H34" t="s">
        <v>29</v>
      </c>
      <c r="I34" t="s">
        <v>16</v>
      </c>
      <c r="J34" t="str">
        <f t="shared" si="0"/>
        <v>15-24</v>
      </c>
    </row>
    <row r="35" spans="1:10">
      <c r="A35" t="s">
        <v>65</v>
      </c>
      <c r="B35">
        <v>2</v>
      </c>
      <c r="C35" t="s">
        <v>10</v>
      </c>
      <c r="D35" t="s">
        <v>43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  <c r="J35" t="str">
        <f t="shared" ref="J35:J66" si="1">IF(B35="","",IF(B35&lt;=14,"0-14",IF(B35&lt;=24,"15-24",IF(B35&lt;=44,"25-44","45+"))))</f>
        <v>0-14</v>
      </c>
    </row>
    <row r="36" spans="1:10">
      <c r="A36" t="s">
        <v>66</v>
      </c>
      <c r="B36">
        <v>11</v>
      </c>
      <c r="C36" t="s">
        <v>25</v>
      </c>
      <c r="D36" t="s">
        <v>11</v>
      </c>
      <c r="E36" t="s">
        <v>38</v>
      </c>
      <c r="F36" t="s">
        <v>13</v>
      </c>
      <c r="G36" t="s">
        <v>14</v>
      </c>
      <c r="H36" t="s">
        <v>15</v>
      </c>
      <c r="I36" t="s">
        <v>16</v>
      </c>
      <c r="J36" t="str">
        <f t="shared" si="1"/>
        <v>0-14</v>
      </c>
    </row>
    <row r="37" spans="1:10">
      <c r="A37" t="s">
        <v>67</v>
      </c>
      <c r="B37">
        <v>62</v>
      </c>
      <c r="C37" t="s">
        <v>10</v>
      </c>
      <c r="D37" t="s">
        <v>20</v>
      </c>
      <c r="E37" t="s">
        <v>46</v>
      </c>
      <c r="F37" t="s">
        <v>27</v>
      </c>
      <c r="G37" t="s">
        <v>28</v>
      </c>
      <c r="H37" t="s">
        <v>29</v>
      </c>
      <c r="I37" t="s">
        <v>16</v>
      </c>
      <c r="J37" t="str">
        <f t="shared" si="1"/>
        <v>45+</v>
      </c>
    </row>
    <row r="38" spans="1:10">
      <c r="A38" t="s">
        <v>69</v>
      </c>
      <c r="B38">
        <v>40</v>
      </c>
      <c r="C38" t="s">
        <v>10</v>
      </c>
      <c r="D38" t="s">
        <v>11</v>
      </c>
      <c r="E38" t="s">
        <v>23</v>
      </c>
      <c r="F38" t="s">
        <v>27</v>
      </c>
      <c r="G38" t="s">
        <v>28</v>
      </c>
      <c r="H38" t="s">
        <v>29</v>
      </c>
      <c r="I38" t="s">
        <v>16</v>
      </c>
      <c r="J38" t="str">
        <f t="shared" si="1"/>
        <v>25-44</v>
      </c>
    </row>
    <row r="39" spans="1:10">
      <c r="A39" t="s">
        <v>70</v>
      </c>
      <c r="B39">
        <v>44</v>
      </c>
      <c r="C39" t="s">
        <v>10</v>
      </c>
      <c r="D39" t="s">
        <v>18</v>
      </c>
      <c r="E39" t="s">
        <v>12</v>
      </c>
      <c r="F39" t="s">
        <v>27</v>
      </c>
      <c r="G39" t="s">
        <v>28</v>
      </c>
      <c r="H39" t="s">
        <v>29</v>
      </c>
      <c r="I39" t="s">
        <v>16</v>
      </c>
      <c r="J39" t="str">
        <f t="shared" si="1"/>
        <v>25-44</v>
      </c>
    </row>
    <row r="40" spans="1:10">
      <c r="A40" t="s">
        <v>71</v>
      </c>
      <c r="B40">
        <v>27</v>
      </c>
      <c r="C40" t="s">
        <v>10</v>
      </c>
      <c r="D40" t="s">
        <v>18</v>
      </c>
      <c r="E40" t="s">
        <v>33</v>
      </c>
      <c r="F40" t="s">
        <v>27</v>
      </c>
      <c r="G40" t="s">
        <v>28</v>
      </c>
      <c r="H40" t="s">
        <v>29</v>
      </c>
      <c r="I40" t="s">
        <v>16</v>
      </c>
      <c r="J40" t="str">
        <f t="shared" si="1"/>
        <v>25-44</v>
      </c>
    </row>
    <row r="41" spans="1:10">
      <c r="A41" t="s">
        <v>72</v>
      </c>
      <c r="B41">
        <v>16</v>
      </c>
      <c r="C41" t="s">
        <v>25</v>
      </c>
      <c r="D41" t="s">
        <v>43</v>
      </c>
      <c r="E41" t="s">
        <v>33</v>
      </c>
      <c r="F41" t="s">
        <v>13</v>
      </c>
      <c r="G41" t="s">
        <v>14</v>
      </c>
      <c r="H41" t="s">
        <v>15</v>
      </c>
      <c r="I41" t="s">
        <v>16</v>
      </c>
      <c r="J41" t="str">
        <f t="shared" si="1"/>
        <v>15-24</v>
      </c>
    </row>
    <row r="42" spans="1:10">
      <c r="A42" t="s">
        <v>73</v>
      </c>
      <c r="B42">
        <v>12</v>
      </c>
      <c r="C42" t="s">
        <v>10</v>
      </c>
      <c r="D42" t="s">
        <v>43</v>
      </c>
      <c r="E42" t="s">
        <v>38</v>
      </c>
      <c r="F42" t="s">
        <v>27</v>
      </c>
      <c r="G42" t="s">
        <v>28</v>
      </c>
      <c r="H42" t="s">
        <v>29</v>
      </c>
      <c r="I42" t="s">
        <v>16</v>
      </c>
      <c r="J42" t="str">
        <f t="shared" si="1"/>
        <v>0-14</v>
      </c>
    </row>
    <row r="43" spans="1:10">
      <c r="A43" t="s">
        <v>74</v>
      </c>
      <c r="B43">
        <v>60</v>
      </c>
      <c r="C43" t="s">
        <v>10</v>
      </c>
      <c r="D43" t="s">
        <v>43</v>
      </c>
      <c r="E43" t="s">
        <v>33</v>
      </c>
      <c r="F43" t="s">
        <v>27</v>
      </c>
      <c r="G43" t="s">
        <v>28</v>
      </c>
      <c r="H43" t="s">
        <v>29</v>
      </c>
      <c r="I43" t="s">
        <v>16</v>
      </c>
      <c r="J43" t="str">
        <f t="shared" si="1"/>
        <v>45+</v>
      </c>
    </row>
    <row r="44" spans="1:10">
      <c r="A44" t="s">
        <v>75</v>
      </c>
      <c r="B44">
        <v>59</v>
      </c>
      <c r="C44" t="s">
        <v>25</v>
      </c>
      <c r="D44" t="s">
        <v>11</v>
      </c>
      <c r="E44" t="s">
        <v>23</v>
      </c>
      <c r="F44" t="s">
        <v>27</v>
      </c>
      <c r="G44" t="s">
        <v>28</v>
      </c>
      <c r="H44" t="s">
        <v>29</v>
      </c>
      <c r="I44" t="s">
        <v>21</v>
      </c>
      <c r="J44" t="str">
        <f t="shared" si="1"/>
        <v>45+</v>
      </c>
    </row>
    <row r="45" spans="1:10">
      <c r="A45" t="s">
        <v>76</v>
      </c>
      <c r="B45">
        <v>25</v>
      </c>
      <c r="C45" t="s">
        <v>25</v>
      </c>
      <c r="D45" t="s">
        <v>18</v>
      </c>
      <c r="E45" t="s">
        <v>23</v>
      </c>
      <c r="F45" t="s">
        <v>27</v>
      </c>
      <c r="G45" t="s">
        <v>28</v>
      </c>
      <c r="H45" t="s">
        <v>29</v>
      </c>
      <c r="I45" t="s">
        <v>16</v>
      </c>
      <c r="J45" t="str">
        <f t="shared" si="1"/>
        <v>25-44</v>
      </c>
    </row>
    <row r="46" spans="1:10">
      <c r="A46" t="s">
        <v>77</v>
      </c>
      <c r="B46">
        <v>4</v>
      </c>
      <c r="C46" t="s">
        <v>25</v>
      </c>
      <c r="D46" t="s">
        <v>20</v>
      </c>
      <c r="E46" t="s">
        <v>12</v>
      </c>
      <c r="F46" t="s">
        <v>27</v>
      </c>
      <c r="G46" t="s">
        <v>14</v>
      </c>
      <c r="H46" t="s">
        <v>29</v>
      </c>
      <c r="I46" t="s">
        <v>16</v>
      </c>
      <c r="J46" t="str">
        <f t="shared" si="1"/>
        <v>0-14</v>
      </c>
    </row>
    <row r="47" spans="1:10">
      <c r="A47" t="s">
        <v>78</v>
      </c>
      <c r="B47">
        <v>32</v>
      </c>
      <c r="C47" t="s">
        <v>10</v>
      </c>
      <c r="D47" t="s">
        <v>11</v>
      </c>
      <c r="E47" t="s">
        <v>46</v>
      </c>
      <c r="F47" t="s">
        <v>13</v>
      </c>
      <c r="G47" t="s">
        <v>28</v>
      </c>
      <c r="H47" t="s">
        <v>15</v>
      </c>
      <c r="I47" t="s">
        <v>21</v>
      </c>
      <c r="J47" t="str">
        <f t="shared" si="1"/>
        <v>25-44</v>
      </c>
    </row>
    <row r="48" spans="1:10">
      <c r="A48" t="s">
        <v>79</v>
      </c>
      <c r="B48">
        <v>47</v>
      </c>
      <c r="C48" t="s">
        <v>10</v>
      </c>
      <c r="D48" t="s">
        <v>18</v>
      </c>
      <c r="E48" t="s">
        <v>33</v>
      </c>
      <c r="F48" t="s">
        <v>27</v>
      </c>
      <c r="G48" t="s">
        <v>14</v>
      </c>
      <c r="H48" t="s">
        <v>29</v>
      </c>
      <c r="I48" t="s">
        <v>16</v>
      </c>
      <c r="J48" t="str">
        <f t="shared" si="1"/>
        <v>45+</v>
      </c>
    </row>
    <row r="49" spans="1:10">
      <c r="A49" t="s">
        <v>80</v>
      </c>
      <c r="B49" t="s">
        <v>40</v>
      </c>
      <c r="C49" t="s">
        <v>25</v>
      </c>
      <c r="D49" t="s">
        <v>43</v>
      </c>
      <c r="E49" t="s">
        <v>33</v>
      </c>
      <c r="F49" t="s">
        <v>13</v>
      </c>
      <c r="G49" t="s">
        <v>14</v>
      </c>
      <c r="H49" t="s">
        <v>15</v>
      </c>
      <c r="I49" t="s">
        <v>16</v>
      </c>
      <c r="J49" t="str">
        <f t="shared" si="1"/>
        <v/>
      </c>
    </row>
    <row r="50" spans="1:10">
      <c r="A50" t="s">
        <v>81</v>
      </c>
      <c r="B50">
        <v>11</v>
      </c>
      <c r="C50" t="s">
        <v>10</v>
      </c>
      <c r="D50" t="s">
        <v>20</v>
      </c>
      <c r="E50" t="s">
        <v>12</v>
      </c>
      <c r="F50" t="s">
        <v>27</v>
      </c>
      <c r="G50" t="s">
        <v>28</v>
      </c>
      <c r="H50" t="s">
        <v>29</v>
      </c>
      <c r="I50" t="s">
        <v>16</v>
      </c>
      <c r="J50" t="str">
        <f t="shared" si="1"/>
        <v>0-14</v>
      </c>
    </row>
    <row r="51" spans="1:10">
      <c r="A51" t="s">
        <v>82</v>
      </c>
      <c r="B51">
        <v>24</v>
      </c>
      <c r="C51" t="s">
        <v>25</v>
      </c>
      <c r="D51" t="s">
        <v>18</v>
      </c>
      <c r="E51" t="s">
        <v>46</v>
      </c>
      <c r="F51" t="s">
        <v>13</v>
      </c>
      <c r="G51" t="s">
        <v>14</v>
      </c>
      <c r="H51" t="s">
        <v>15</v>
      </c>
      <c r="I51" t="s">
        <v>16</v>
      </c>
      <c r="J51" t="str">
        <f t="shared" si="1"/>
        <v>15-24</v>
      </c>
    </row>
    <row r="52" spans="1:10">
      <c r="A52" t="s">
        <v>83</v>
      </c>
      <c r="B52">
        <v>7</v>
      </c>
      <c r="C52" t="s">
        <v>25</v>
      </c>
      <c r="D52" t="s">
        <v>11</v>
      </c>
      <c r="E52" t="s">
        <v>23</v>
      </c>
      <c r="F52" t="s">
        <v>27</v>
      </c>
      <c r="G52" t="s">
        <v>28</v>
      </c>
      <c r="H52" t="s">
        <v>29</v>
      </c>
      <c r="I52" t="s">
        <v>16</v>
      </c>
      <c r="J52" t="str">
        <f t="shared" si="1"/>
        <v>0-14</v>
      </c>
    </row>
    <row r="53" spans="1:10">
      <c r="A53" t="s">
        <v>84</v>
      </c>
      <c r="B53">
        <v>60</v>
      </c>
      <c r="C53" t="s">
        <v>25</v>
      </c>
      <c r="D53" t="s">
        <v>20</v>
      </c>
      <c r="E53" t="s">
        <v>23</v>
      </c>
      <c r="F53" t="s">
        <v>13</v>
      </c>
      <c r="G53" t="s">
        <v>14</v>
      </c>
      <c r="H53" t="s">
        <v>15</v>
      </c>
      <c r="I53" t="s">
        <v>16</v>
      </c>
      <c r="J53" t="str">
        <f t="shared" si="1"/>
        <v>45+</v>
      </c>
    </row>
    <row r="54" spans="1:10">
      <c r="A54" t="s">
        <v>85</v>
      </c>
      <c r="B54">
        <v>20</v>
      </c>
      <c r="C54" t="s">
        <v>10</v>
      </c>
      <c r="D54" t="s">
        <v>18</v>
      </c>
      <c r="E54" t="s">
        <v>38</v>
      </c>
      <c r="F54" t="s">
        <v>13</v>
      </c>
      <c r="G54" t="s">
        <v>14</v>
      </c>
      <c r="H54" t="s">
        <v>15</v>
      </c>
      <c r="I54" t="s">
        <v>21</v>
      </c>
      <c r="J54" t="str">
        <f t="shared" si="1"/>
        <v>15-24</v>
      </c>
    </row>
    <row r="55" spans="1:10">
      <c r="A55" t="s">
        <v>86</v>
      </c>
      <c r="B55">
        <v>1</v>
      </c>
      <c r="C55" t="s">
        <v>25</v>
      </c>
      <c r="D55" t="s">
        <v>18</v>
      </c>
      <c r="E55" t="s">
        <v>26</v>
      </c>
      <c r="F55" t="s">
        <v>13</v>
      </c>
      <c r="G55" t="s">
        <v>14</v>
      </c>
      <c r="H55" t="s">
        <v>15</v>
      </c>
      <c r="I55" t="s">
        <v>16</v>
      </c>
      <c r="J55" t="str">
        <f t="shared" si="1"/>
        <v>0-14</v>
      </c>
    </row>
    <row r="56" spans="1:10">
      <c r="A56" t="s">
        <v>87</v>
      </c>
      <c r="B56">
        <v>55</v>
      </c>
      <c r="C56" t="s">
        <v>25</v>
      </c>
      <c r="D56" t="s">
        <v>20</v>
      </c>
      <c r="E56" t="s">
        <v>46</v>
      </c>
      <c r="F56" t="s">
        <v>27</v>
      </c>
      <c r="G56" t="s">
        <v>14</v>
      </c>
      <c r="H56" t="s">
        <v>29</v>
      </c>
      <c r="I56" t="s">
        <v>16</v>
      </c>
      <c r="J56" t="str">
        <f t="shared" si="1"/>
        <v>45+</v>
      </c>
    </row>
    <row r="57" spans="1:10">
      <c r="A57" t="s">
        <v>88</v>
      </c>
      <c r="B57">
        <v>54</v>
      </c>
      <c r="C57" t="s">
        <v>10</v>
      </c>
      <c r="D57" t="s">
        <v>18</v>
      </c>
      <c r="E57" t="s">
        <v>46</v>
      </c>
      <c r="F57" t="s">
        <v>13</v>
      </c>
      <c r="G57" t="s">
        <v>14</v>
      </c>
      <c r="H57" t="s">
        <v>15</v>
      </c>
      <c r="I57" t="s">
        <v>34</v>
      </c>
      <c r="J57" t="str">
        <f t="shared" si="1"/>
        <v>45+</v>
      </c>
    </row>
    <row r="58" spans="1:10">
      <c r="A58" t="s">
        <v>89</v>
      </c>
      <c r="B58">
        <v>62</v>
      </c>
      <c r="C58" t="s">
        <v>10</v>
      </c>
      <c r="D58" t="s">
        <v>20</v>
      </c>
      <c r="E58" t="s">
        <v>33</v>
      </c>
      <c r="F58" t="s">
        <v>27</v>
      </c>
      <c r="G58" t="s">
        <v>28</v>
      </c>
      <c r="H58" t="s">
        <v>29</v>
      </c>
      <c r="I58" t="s">
        <v>16</v>
      </c>
      <c r="J58" t="str">
        <f t="shared" si="1"/>
        <v>45+</v>
      </c>
    </row>
    <row r="59" spans="1:10">
      <c r="A59" t="s">
        <v>90</v>
      </c>
      <c r="B59">
        <v>11</v>
      </c>
      <c r="C59" t="s">
        <v>25</v>
      </c>
      <c r="D59" t="s">
        <v>11</v>
      </c>
      <c r="E59" t="s">
        <v>38</v>
      </c>
      <c r="F59" t="s">
        <v>13</v>
      </c>
      <c r="G59" t="s">
        <v>14</v>
      </c>
      <c r="H59" t="s">
        <v>15</v>
      </c>
      <c r="I59" t="s">
        <v>16</v>
      </c>
      <c r="J59" t="str">
        <f t="shared" si="1"/>
        <v>0-14</v>
      </c>
    </row>
    <row r="60" spans="1:10">
      <c r="A60" t="s">
        <v>91</v>
      </c>
      <c r="B60">
        <v>27</v>
      </c>
      <c r="C60" t="s">
        <v>10</v>
      </c>
      <c r="D60" t="s">
        <v>20</v>
      </c>
      <c r="E60" t="s">
        <v>33</v>
      </c>
      <c r="F60" t="s">
        <v>13</v>
      </c>
      <c r="G60" t="s">
        <v>14</v>
      </c>
      <c r="H60" t="s">
        <v>15</v>
      </c>
      <c r="I60" t="s">
        <v>16</v>
      </c>
      <c r="J60" t="str">
        <f t="shared" si="1"/>
        <v>25-44</v>
      </c>
    </row>
    <row r="61" spans="1:10">
      <c r="A61" t="s">
        <v>92</v>
      </c>
      <c r="B61">
        <v>51</v>
      </c>
      <c r="C61" t="s">
        <v>10</v>
      </c>
      <c r="D61" t="s">
        <v>20</v>
      </c>
      <c r="E61" t="s">
        <v>23</v>
      </c>
      <c r="F61" t="s">
        <v>13</v>
      </c>
      <c r="G61" t="s">
        <v>14</v>
      </c>
      <c r="H61" t="s">
        <v>15</v>
      </c>
      <c r="I61" t="s">
        <v>16</v>
      </c>
      <c r="J61" t="str">
        <f t="shared" si="1"/>
        <v>45+</v>
      </c>
    </row>
    <row r="62" spans="1:10">
      <c r="A62" t="s">
        <v>93</v>
      </c>
      <c r="B62">
        <v>7</v>
      </c>
      <c r="C62" t="s">
        <v>10</v>
      </c>
      <c r="D62" t="s">
        <v>43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  <c r="J62" t="str">
        <f t="shared" si="1"/>
        <v>0-14</v>
      </c>
    </row>
    <row r="63" spans="1:10">
      <c r="A63" t="s">
        <v>94</v>
      </c>
      <c r="B63">
        <v>5</v>
      </c>
      <c r="C63" t="s">
        <v>95</v>
      </c>
      <c r="D63" t="s">
        <v>18</v>
      </c>
      <c r="E63" t="s">
        <v>23</v>
      </c>
      <c r="F63" t="s">
        <v>13</v>
      </c>
      <c r="G63" t="s">
        <v>14</v>
      </c>
      <c r="H63" t="s">
        <v>15</v>
      </c>
      <c r="I63" t="s">
        <v>16</v>
      </c>
      <c r="J63" t="str">
        <f t="shared" si="1"/>
        <v>0-14</v>
      </c>
    </row>
    <row r="64" spans="1:10">
      <c r="A64" t="s">
        <v>96</v>
      </c>
      <c r="B64">
        <v>2</v>
      </c>
      <c r="C64" t="s">
        <v>25</v>
      </c>
      <c r="D64" t="s">
        <v>11</v>
      </c>
      <c r="E64" t="s">
        <v>38</v>
      </c>
      <c r="F64" t="s">
        <v>13</v>
      </c>
      <c r="G64" t="s">
        <v>14</v>
      </c>
      <c r="H64" t="s">
        <v>15</v>
      </c>
      <c r="I64" t="s">
        <v>16</v>
      </c>
      <c r="J64" t="str">
        <f t="shared" si="1"/>
        <v>0-14</v>
      </c>
    </row>
    <row r="65" spans="1:10">
      <c r="A65" t="s">
        <v>97</v>
      </c>
      <c r="B65">
        <v>44</v>
      </c>
      <c r="C65" t="s">
        <v>25</v>
      </c>
      <c r="D65" t="s">
        <v>18</v>
      </c>
      <c r="E65" t="s">
        <v>46</v>
      </c>
      <c r="F65" t="s">
        <v>27</v>
      </c>
      <c r="G65" t="s">
        <v>28</v>
      </c>
      <c r="H65" t="s">
        <v>29</v>
      </c>
      <c r="I65" t="s">
        <v>16</v>
      </c>
      <c r="J65" t="str">
        <f t="shared" si="1"/>
        <v>25-44</v>
      </c>
    </row>
    <row r="66" spans="1:10">
      <c r="A66" t="s">
        <v>98</v>
      </c>
      <c r="B66">
        <v>54</v>
      </c>
      <c r="C66" t="s">
        <v>10</v>
      </c>
      <c r="D66" t="s">
        <v>20</v>
      </c>
      <c r="E66" t="s">
        <v>33</v>
      </c>
      <c r="F66" t="s">
        <v>27</v>
      </c>
      <c r="G66" t="s">
        <v>14</v>
      </c>
      <c r="H66" t="s">
        <v>29</v>
      </c>
      <c r="I66" t="s">
        <v>16</v>
      </c>
      <c r="J66" t="str">
        <f t="shared" si="1"/>
        <v>45+</v>
      </c>
    </row>
    <row r="67" spans="1:10">
      <c r="A67" t="s">
        <v>99</v>
      </c>
      <c r="B67">
        <v>46</v>
      </c>
      <c r="C67" t="s">
        <v>25</v>
      </c>
      <c r="D67" t="s">
        <v>43</v>
      </c>
      <c r="E67" t="s">
        <v>26</v>
      </c>
      <c r="F67" t="s">
        <v>27</v>
      </c>
      <c r="G67" t="s">
        <v>14</v>
      </c>
      <c r="H67" t="s">
        <v>29</v>
      </c>
      <c r="I67" t="s">
        <v>16</v>
      </c>
      <c r="J67" t="str">
        <f t="shared" ref="J67:J101" si="2">IF(B67="","",IF(B67&lt;=14,"0-14",IF(B67&lt;=24,"15-24",IF(B67&lt;=44,"25-44","45+"))))</f>
        <v>45+</v>
      </c>
    </row>
    <row r="68" spans="1:10">
      <c r="A68" t="s">
        <v>100</v>
      </c>
      <c r="B68">
        <v>42</v>
      </c>
      <c r="C68" t="s">
        <v>10</v>
      </c>
      <c r="D68" t="s">
        <v>43</v>
      </c>
      <c r="E68" t="s">
        <v>33</v>
      </c>
      <c r="F68" t="s">
        <v>27</v>
      </c>
      <c r="G68" t="s">
        <v>28</v>
      </c>
      <c r="H68" t="s">
        <v>29</v>
      </c>
      <c r="I68" t="s">
        <v>16</v>
      </c>
      <c r="J68" t="str">
        <f t="shared" si="2"/>
        <v>25-44</v>
      </c>
    </row>
    <row r="69" spans="1:10">
      <c r="A69" t="s">
        <v>101</v>
      </c>
      <c r="B69">
        <v>5</v>
      </c>
      <c r="C69" t="s">
        <v>25</v>
      </c>
      <c r="D69" t="s">
        <v>20</v>
      </c>
      <c r="E69" t="s">
        <v>46</v>
      </c>
      <c r="F69" t="s">
        <v>13</v>
      </c>
      <c r="G69" t="s">
        <v>14</v>
      </c>
      <c r="H69" t="s">
        <v>15</v>
      </c>
      <c r="I69" t="s">
        <v>16</v>
      </c>
      <c r="J69" t="str">
        <f t="shared" si="2"/>
        <v>0-14</v>
      </c>
    </row>
    <row r="70" spans="1:10">
      <c r="A70" t="s">
        <v>102</v>
      </c>
      <c r="B70">
        <v>41</v>
      </c>
      <c r="C70" t="s">
        <v>10</v>
      </c>
      <c r="D70" t="s">
        <v>43</v>
      </c>
      <c r="E70" t="s">
        <v>33</v>
      </c>
      <c r="F70" t="s">
        <v>27</v>
      </c>
      <c r="G70" t="s">
        <v>28</v>
      </c>
      <c r="H70" t="s">
        <v>29</v>
      </c>
      <c r="I70" t="s">
        <v>16</v>
      </c>
      <c r="J70" t="str">
        <f t="shared" si="2"/>
        <v>25-44</v>
      </c>
    </row>
    <row r="71" spans="1:10">
      <c r="A71" t="s">
        <v>103</v>
      </c>
      <c r="B71">
        <v>24</v>
      </c>
      <c r="C71" t="s">
        <v>25</v>
      </c>
      <c r="D71" t="s">
        <v>11</v>
      </c>
      <c r="E71" t="s">
        <v>26</v>
      </c>
      <c r="F71" t="s">
        <v>13</v>
      </c>
      <c r="G71" t="s">
        <v>14</v>
      </c>
      <c r="H71" t="s">
        <v>15</v>
      </c>
      <c r="I71" t="s">
        <v>16</v>
      </c>
      <c r="J71" t="str">
        <f t="shared" si="2"/>
        <v>15-24</v>
      </c>
    </row>
    <row r="72" spans="1:10">
      <c r="A72" t="s">
        <v>104</v>
      </c>
      <c r="B72">
        <v>17</v>
      </c>
      <c r="C72" t="s">
        <v>10</v>
      </c>
      <c r="D72" t="s">
        <v>43</v>
      </c>
      <c r="E72" t="s">
        <v>46</v>
      </c>
      <c r="F72" t="s">
        <v>13</v>
      </c>
      <c r="G72" t="s">
        <v>14</v>
      </c>
      <c r="H72" t="s">
        <v>15</v>
      </c>
      <c r="I72" t="s">
        <v>16</v>
      </c>
      <c r="J72" t="str">
        <f t="shared" si="2"/>
        <v>15-24</v>
      </c>
    </row>
    <row r="73" spans="1:10">
      <c r="A73" t="s">
        <v>105</v>
      </c>
      <c r="B73">
        <v>44</v>
      </c>
      <c r="C73" t="s">
        <v>10</v>
      </c>
      <c r="D73" t="s">
        <v>18</v>
      </c>
      <c r="E73" t="s">
        <v>12</v>
      </c>
      <c r="F73" t="s">
        <v>13</v>
      </c>
      <c r="G73" t="s">
        <v>28</v>
      </c>
      <c r="H73" t="s">
        <v>15</v>
      </c>
      <c r="I73" t="s">
        <v>16</v>
      </c>
      <c r="J73" t="str">
        <f t="shared" si="2"/>
        <v>25-44</v>
      </c>
    </row>
    <row r="74" spans="1:10">
      <c r="A74" t="s">
        <v>106</v>
      </c>
      <c r="B74">
        <v>60</v>
      </c>
      <c r="C74" t="s">
        <v>10</v>
      </c>
      <c r="D74" t="s">
        <v>20</v>
      </c>
      <c r="E74" t="s">
        <v>23</v>
      </c>
      <c r="F74" t="s">
        <v>27</v>
      </c>
      <c r="G74" t="s">
        <v>28</v>
      </c>
      <c r="H74" t="s">
        <v>29</v>
      </c>
      <c r="I74" t="s">
        <v>16</v>
      </c>
      <c r="J74" t="str">
        <f t="shared" si="2"/>
        <v>45+</v>
      </c>
    </row>
    <row r="75" spans="1:10">
      <c r="A75" t="s">
        <v>107</v>
      </c>
      <c r="B75">
        <v>17</v>
      </c>
      <c r="C75" t="s">
        <v>10</v>
      </c>
      <c r="D75" t="s">
        <v>11</v>
      </c>
      <c r="E75" t="s">
        <v>38</v>
      </c>
      <c r="F75" t="s">
        <v>27</v>
      </c>
      <c r="G75" t="s">
        <v>14</v>
      </c>
      <c r="H75" t="s">
        <v>29</v>
      </c>
      <c r="I75" t="s">
        <v>16</v>
      </c>
      <c r="J75" t="str">
        <f t="shared" si="2"/>
        <v>15-24</v>
      </c>
    </row>
    <row r="76" spans="1:10">
      <c r="A76" t="s">
        <v>109</v>
      </c>
      <c r="B76">
        <v>41</v>
      </c>
      <c r="C76" t="s">
        <v>25</v>
      </c>
      <c r="D76" t="s">
        <v>11</v>
      </c>
      <c r="E76" t="s">
        <v>33</v>
      </c>
      <c r="F76" t="s">
        <v>13</v>
      </c>
      <c r="G76" t="s">
        <v>14</v>
      </c>
      <c r="H76" t="s">
        <v>15</v>
      </c>
      <c r="I76" t="s">
        <v>16</v>
      </c>
      <c r="J76" t="str">
        <f t="shared" si="2"/>
        <v>25-44</v>
      </c>
    </row>
    <row r="77" spans="1:10">
      <c r="A77" t="s">
        <v>110</v>
      </c>
      <c r="B77">
        <v>36</v>
      </c>
      <c r="C77" t="s">
        <v>10</v>
      </c>
      <c r="D77" t="s">
        <v>11</v>
      </c>
      <c r="E77" t="s">
        <v>46</v>
      </c>
      <c r="F77" t="s">
        <v>27</v>
      </c>
      <c r="G77" t="s">
        <v>28</v>
      </c>
      <c r="H77" t="s">
        <v>29</v>
      </c>
      <c r="I77" t="s">
        <v>16</v>
      </c>
      <c r="J77" t="str">
        <f t="shared" si="2"/>
        <v>25-44</v>
      </c>
    </row>
    <row r="78" spans="1:10">
      <c r="A78" t="s">
        <v>111</v>
      </c>
      <c r="B78">
        <v>31</v>
      </c>
      <c r="C78" t="s">
        <v>10</v>
      </c>
      <c r="D78" t="s">
        <v>43</v>
      </c>
      <c r="E78" t="s">
        <v>23</v>
      </c>
      <c r="F78" t="s">
        <v>13</v>
      </c>
      <c r="G78" t="s">
        <v>14</v>
      </c>
      <c r="H78" t="s">
        <v>15</v>
      </c>
      <c r="I78" t="s">
        <v>16</v>
      </c>
      <c r="J78" t="str">
        <f t="shared" si="2"/>
        <v>25-44</v>
      </c>
    </row>
    <row r="79" spans="1:10">
      <c r="A79" t="s">
        <v>112</v>
      </c>
      <c r="B79">
        <v>64</v>
      </c>
      <c r="C79" t="s">
        <v>10</v>
      </c>
      <c r="D79" t="s">
        <v>11</v>
      </c>
      <c r="E79" t="s">
        <v>26</v>
      </c>
      <c r="F79" t="s">
        <v>13</v>
      </c>
      <c r="G79" t="s">
        <v>14</v>
      </c>
      <c r="H79" t="s">
        <v>15</v>
      </c>
      <c r="I79" t="s">
        <v>16</v>
      </c>
      <c r="J79" t="str">
        <f t="shared" si="2"/>
        <v>45+</v>
      </c>
    </row>
    <row r="80" spans="1:10">
      <c r="A80" t="s">
        <v>113</v>
      </c>
      <c r="B80">
        <v>13</v>
      </c>
      <c r="C80" t="s">
        <v>10</v>
      </c>
      <c r="D80" t="s">
        <v>43</v>
      </c>
      <c r="E80" t="s">
        <v>12</v>
      </c>
      <c r="F80" t="s">
        <v>27</v>
      </c>
      <c r="G80" t="s">
        <v>28</v>
      </c>
      <c r="H80" t="s">
        <v>29</v>
      </c>
      <c r="I80" t="s">
        <v>21</v>
      </c>
      <c r="J80" t="str">
        <f t="shared" si="2"/>
        <v>0-14</v>
      </c>
    </row>
    <row r="81" spans="1:10">
      <c r="A81" t="s">
        <v>114</v>
      </c>
      <c r="B81">
        <v>20</v>
      </c>
      <c r="C81" t="s">
        <v>10</v>
      </c>
      <c r="D81" t="s">
        <v>11</v>
      </c>
      <c r="E81" t="s">
        <v>38</v>
      </c>
      <c r="F81" t="s">
        <v>13</v>
      </c>
      <c r="G81" t="s">
        <v>14</v>
      </c>
      <c r="H81" t="s">
        <v>15</v>
      </c>
      <c r="I81" t="s">
        <v>16</v>
      </c>
      <c r="J81" t="str">
        <f t="shared" si="2"/>
        <v>15-24</v>
      </c>
    </row>
    <row r="82" spans="1:10">
      <c r="A82" t="s">
        <v>115</v>
      </c>
      <c r="B82">
        <v>37</v>
      </c>
      <c r="C82" t="s">
        <v>25</v>
      </c>
      <c r="D82" t="s">
        <v>20</v>
      </c>
      <c r="E82" t="s">
        <v>38</v>
      </c>
      <c r="F82" t="s">
        <v>13</v>
      </c>
      <c r="G82" t="s">
        <v>14</v>
      </c>
      <c r="H82" t="s">
        <v>15</v>
      </c>
      <c r="I82" t="s">
        <v>16</v>
      </c>
      <c r="J82" t="str">
        <f t="shared" si="2"/>
        <v>25-44</v>
      </c>
    </row>
    <row r="83" spans="1:10">
      <c r="A83" t="s">
        <v>116</v>
      </c>
      <c r="B83">
        <v>14</v>
      </c>
      <c r="C83" t="s">
        <v>25</v>
      </c>
      <c r="D83" t="s">
        <v>11</v>
      </c>
      <c r="E83" t="s">
        <v>33</v>
      </c>
      <c r="F83" t="s">
        <v>13</v>
      </c>
      <c r="G83" t="s">
        <v>14</v>
      </c>
      <c r="H83" t="s">
        <v>15</v>
      </c>
      <c r="I83" t="s">
        <v>16</v>
      </c>
      <c r="J83" t="str">
        <f t="shared" si="2"/>
        <v>0-14</v>
      </c>
    </row>
    <row r="84" spans="1:10">
      <c r="A84" t="s">
        <v>117</v>
      </c>
      <c r="B84" t="s">
        <v>40</v>
      </c>
      <c r="C84" t="s">
        <v>10</v>
      </c>
      <c r="D84" t="s">
        <v>18</v>
      </c>
      <c r="E84" t="s">
        <v>26</v>
      </c>
      <c r="F84" t="s">
        <v>13</v>
      </c>
      <c r="G84" t="s">
        <v>14</v>
      </c>
      <c r="H84" t="s">
        <v>15</v>
      </c>
      <c r="I84" t="s">
        <v>16</v>
      </c>
      <c r="J84" t="str">
        <f t="shared" si="2"/>
        <v/>
      </c>
    </row>
    <row r="85" spans="1:10">
      <c r="A85" t="s">
        <v>118</v>
      </c>
      <c r="B85">
        <v>39</v>
      </c>
      <c r="C85" t="s">
        <v>25</v>
      </c>
      <c r="D85" t="s">
        <v>20</v>
      </c>
      <c r="E85" t="s">
        <v>26</v>
      </c>
      <c r="F85" t="s">
        <v>27</v>
      </c>
      <c r="G85" t="s">
        <v>14</v>
      </c>
      <c r="H85" t="s">
        <v>29</v>
      </c>
      <c r="I85" t="s">
        <v>16</v>
      </c>
      <c r="J85" t="str">
        <f t="shared" si="2"/>
        <v>25-44</v>
      </c>
    </row>
    <row r="86" spans="1:10">
      <c r="A86" t="s">
        <v>119</v>
      </c>
      <c r="B86">
        <v>25</v>
      </c>
      <c r="C86" t="s">
        <v>25</v>
      </c>
      <c r="D86" t="s">
        <v>11</v>
      </c>
      <c r="E86" t="s">
        <v>33</v>
      </c>
      <c r="F86" t="s">
        <v>13</v>
      </c>
      <c r="G86" t="s">
        <v>14</v>
      </c>
      <c r="H86" t="s">
        <v>15</v>
      </c>
      <c r="I86" t="s">
        <v>16</v>
      </c>
      <c r="J86" t="str">
        <f t="shared" si="2"/>
        <v>25-44</v>
      </c>
    </row>
    <row r="87" spans="1:10">
      <c r="A87" t="s">
        <v>120</v>
      </c>
      <c r="B87">
        <v>25</v>
      </c>
      <c r="C87" t="s">
        <v>25</v>
      </c>
      <c r="D87" t="s">
        <v>11</v>
      </c>
      <c r="E87" t="s">
        <v>23</v>
      </c>
      <c r="F87" t="s">
        <v>27</v>
      </c>
      <c r="G87" t="s">
        <v>28</v>
      </c>
      <c r="H87" t="s">
        <v>29</v>
      </c>
      <c r="I87" t="s">
        <v>16</v>
      </c>
      <c r="J87" t="str">
        <f t="shared" si="2"/>
        <v>25-44</v>
      </c>
    </row>
    <row r="88" spans="1:10">
      <c r="A88" t="s">
        <v>121</v>
      </c>
      <c r="B88">
        <v>29</v>
      </c>
      <c r="C88" t="s">
        <v>10</v>
      </c>
      <c r="D88" t="s">
        <v>20</v>
      </c>
      <c r="E88" t="s">
        <v>46</v>
      </c>
      <c r="F88" t="s">
        <v>27</v>
      </c>
      <c r="G88" t="s">
        <v>14</v>
      </c>
      <c r="H88" t="s">
        <v>29</v>
      </c>
      <c r="I88" t="s">
        <v>16</v>
      </c>
      <c r="J88" t="str">
        <f t="shared" si="2"/>
        <v>25-44</v>
      </c>
    </row>
    <row r="89" spans="1:10">
      <c r="A89" t="s">
        <v>122</v>
      </c>
      <c r="B89">
        <v>35</v>
      </c>
      <c r="C89" t="s">
        <v>10</v>
      </c>
      <c r="D89" t="s">
        <v>18</v>
      </c>
      <c r="E89" t="s">
        <v>38</v>
      </c>
      <c r="F89" t="s">
        <v>13</v>
      </c>
      <c r="G89" t="s">
        <v>14</v>
      </c>
      <c r="H89" t="s">
        <v>15</v>
      </c>
      <c r="I89" t="s">
        <v>16</v>
      </c>
      <c r="J89" t="str">
        <f t="shared" si="2"/>
        <v>25-44</v>
      </c>
    </row>
    <row r="90" spans="1:10">
      <c r="A90" t="s">
        <v>123</v>
      </c>
      <c r="B90">
        <v>19</v>
      </c>
      <c r="C90" t="s">
        <v>10</v>
      </c>
      <c r="D90" t="s">
        <v>11</v>
      </c>
      <c r="E90" t="s">
        <v>33</v>
      </c>
      <c r="F90" t="s">
        <v>13</v>
      </c>
      <c r="G90" t="s">
        <v>14</v>
      </c>
      <c r="H90" t="s">
        <v>15</v>
      </c>
      <c r="I90" t="s">
        <v>16</v>
      </c>
      <c r="J90" t="str">
        <f t="shared" si="2"/>
        <v>15-24</v>
      </c>
    </row>
    <row r="91" spans="1:10">
      <c r="A91" t="s">
        <v>124</v>
      </c>
      <c r="B91">
        <v>37</v>
      </c>
      <c r="C91" t="s">
        <v>25</v>
      </c>
      <c r="D91" t="s">
        <v>11</v>
      </c>
      <c r="E91" t="s">
        <v>38</v>
      </c>
      <c r="F91" t="s">
        <v>27</v>
      </c>
      <c r="G91" t="s">
        <v>28</v>
      </c>
      <c r="H91" t="s">
        <v>29</v>
      </c>
      <c r="I91" t="s">
        <v>16</v>
      </c>
      <c r="J91" t="str">
        <f t="shared" si="2"/>
        <v>25-44</v>
      </c>
    </row>
    <row r="92" spans="1:10">
      <c r="A92" t="s">
        <v>125</v>
      </c>
      <c r="B92">
        <v>41</v>
      </c>
      <c r="C92" t="s">
        <v>10</v>
      </c>
      <c r="D92" t="s">
        <v>43</v>
      </c>
      <c r="E92" t="s">
        <v>33</v>
      </c>
      <c r="F92" t="s">
        <v>13</v>
      </c>
      <c r="G92" t="s">
        <v>28</v>
      </c>
      <c r="H92" t="s">
        <v>15</v>
      </c>
      <c r="I92" t="s">
        <v>21</v>
      </c>
      <c r="J92" t="str">
        <f t="shared" si="2"/>
        <v>25-44</v>
      </c>
    </row>
    <row r="93" spans="1:10">
      <c r="A93" t="s">
        <v>126</v>
      </c>
      <c r="B93">
        <v>49</v>
      </c>
      <c r="C93" t="s">
        <v>25</v>
      </c>
      <c r="D93" t="s">
        <v>43</v>
      </c>
      <c r="E93" t="s">
        <v>38</v>
      </c>
      <c r="F93" t="s">
        <v>13</v>
      </c>
      <c r="G93" t="s">
        <v>14</v>
      </c>
      <c r="H93" t="s">
        <v>15</v>
      </c>
      <c r="I93" t="s">
        <v>34</v>
      </c>
      <c r="J93" t="str">
        <f t="shared" si="2"/>
        <v>45+</v>
      </c>
    </row>
    <row r="94" spans="1:10">
      <c r="A94" t="s">
        <v>127</v>
      </c>
      <c r="B94">
        <v>58</v>
      </c>
      <c r="C94" t="s">
        <v>10</v>
      </c>
      <c r="D94" t="s">
        <v>20</v>
      </c>
      <c r="E94" t="s">
        <v>26</v>
      </c>
      <c r="F94" t="s">
        <v>27</v>
      </c>
      <c r="G94" t="s">
        <v>28</v>
      </c>
      <c r="H94" t="s">
        <v>29</v>
      </c>
      <c r="I94" t="s">
        <v>16</v>
      </c>
      <c r="J94" t="str">
        <f t="shared" si="2"/>
        <v>45+</v>
      </c>
    </row>
    <row r="95" spans="1:10">
      <c r="A95" t="s">
        <v>128</v>
      </c>
      <c r="B95">
        <v>38</v>
      </c>
      <c r="C95" t="s">
        <v>10</v>
      </c>
      <c r="D95" t="s">
        <v>11</v>
      </c>
      <c r="E95" t="s">
        <v>38</v>
      </c>
      <c r="F95" t="s">
        <v>27</v>
      </c>
      <c r="G95" t="s">
        <v>14</v>
      </c>
      <c r="H95" t="s">
        <v>29</v>
      </c>
      <c r="I95" t="s">
        <v>16</v>
      </c>
      <c r="J95" t="str">
        <f t="shared" si="2"/>
        <v>25-44</v>
      </c>
    </row>
    <row r="96" spans="1:10">
      <c r="A96" t="s">
        <v>129</v>
      </c>
      <c r="B96">
        <v>15</v>
      </c>
      <c r="C96" t="s">
        <v>10</v>
      </c>
      <c r="D96" t="s">
        <v>18</v>
      </c>
      <c r="E96" t="s">
        <v>26</v>
      </c>
      <c r="F96" t="s">
        <v>13</v>
      </c>
      <c r="G96" t="s">
        <v>14</v>
      </c>
      <c r="H96" t="s">
        <v>15</v>
      </c>
      <c r="I96" t="s">
        <v>21</v>
      </c>
      <c r="J96" t="str">
        <f t="shared" si="2"/>
        <v>15-24</v>
      </c>
    </row>
    <row r="97" spans="1:10">
      <c r="A97" t="s">
        <v>130</v>
      </c>
      <c r="B97">
        <v>50</v>
      </c>
      <c r="C97" t="s">
        <v>10</v>
      </c>
      <c r="D97" t="s">
        <v>18</v>
      </c>
      <c r="E97" t="s">
        <v>12</v>
      </c>
      <c r="F97" t="s">
        <v>13</v>
      </c>
      <c r="G97" t="s">
        <v>14</v>
      </c>
      <c r="H97" t="s">
        <v>15</v>
      </c>
      <c r="I97" t="s">
        <v>16</v>
      </c>
      <c r="J97" t="str">
        <f t="shared" si="2"/>
        <v>45+</v>
      </c>
    </row>
    <row r="98" spans="1:10">
      <c r="A98" t="s">
        <v>131</v>
      </c>
      <c r="B98">
        <v>33</v>
      </c>
      <c r="C98" t="s">
        <v>25</v>
      </c>
      <c r="D98" t="s">
        <v>20</v>
      </c>
      <c r="E98" t="s">
        <v>23</v>
      </c>
      <c r="F98" t="s">
        <v>27</v>
      </c>
      <c r="G98" t="s">
        <v>28</v>
      </c>
      <c r="H98" t="s">
        <v>29</v>
      </c>
      <c r="I98" t="s">
        <v>16</v>
      </c>
      <c r="J98" t="str">
        <f t="shared" si="2"/>
        <v>25-44</v>
      </c>
    </row>
    <row r="99" spans="1:10">
      <c r="A99" t="s">
        <v>132</v>
      </c>
      <c r="B99">
        <v>8</v>
      </c>
      <c r="C99" t="s">
        <v>25</v>
      </c>
      <c r="D99" t="s">
        <v>18</v>
      </c>
      <c r="E99" t="s">
        <v>33</v>
      </c>
      <c r="F99" t="s">
        <v>13</v>
      </c>
      <c r="G99" t="s">
        <v>14</v>
      </c>
      <c r="H99" t="s">
        <v>15</v>
      </c>
      <c r="I99" t="s">
        <v>16</v>
      </c>
      <c r="J99" t="str">
        <f t="shared" si="2"/>
        <v>0-14</v>
      </c>
    </row>
    <row r="100" spans="1:10">
      <c r="A100" t="s">
        <v>133</v>
      </c>
      <c r="B100">
        <v>42</v>
      </c>
      <c r="C100" t="s">
        <v>10</v>
      </c>
      <c r="D100" t="s">
        <v>43</v>
      </c>
      <c r="E100" t="s">
        <v>33</v>
      </c>
      <c r="F100" t="s">
        <v>13</v>
      </c>
      <c r="G100" t="s">
        <v>14</v>
      </c>
      <c r="H100" t="s">
        <v>15</v>
      </c>
      <c r="I100" t="s">
        <v>16</v>
      </c>
      <c r="J100" t="str">
        <f t="shared" si="2"/>
        <v>25-44</v>
      </c>
    </row>
    <row r="101" spans="1:10">
      <c r="A101" t="s">
        <v>134</v>
      </c>
      <c r="B101">
        <v>53</v>
      </c>
      <c r="C101" t="s">
        <v>10</v>
      </c>
      <c r="D101" t="s">
        <v>20</v>
      </c>
      <c r="E101" t="s">
        <v>33</v>
      </c>
      <c r="F101" t="s">
        <v>13</v>
      </c>
      <c r="G101" t="s">
        <v>14</v>
      </c>
      <c r="H101" t="s">
        <v>15</v>
      </c>
      <c r="I101" t="s">
        <v>16</v>
      </c>
      <c r="J101" t="str">
        <f t="shared" si="2"/>
        <v>45+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R20" sqref="R20"/>
    </sheetView>
  </sheetViews>
  <sheetFormatPr defaultColWidth="9" defaultRowHeight="14.5" outlineLevelRow="7" outlineLevelCol="1"/>
  <sheetData>
    <row r="1" spans="1:2">
      <c r="A1" s="3" t="s">
        <v>152</v>
      </c>
      <c r="B1" s="3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157</v>
      </c>
    </row>
    <row r="4" spans="1:2">
      <c r="A4" t="s">
        <v>158</v>
      </c>
      <c r="B4" t="s">
        <v>159</v>
      </c>
    </row>
    <row r="5" spans="1:2">
      <c r="A5" t="s">
        <v>160</v>
      </c>
      <c r="B5" t="s">
        <v>161</v>
      </c>
    </row>
    <row r="6" spans="1:2">
      <c r="A6" t="s">
        <v>162</v>
      </c>
      <c r="B6" t="s">
        <v>163</v>
      </c>
    </row>
    <row r="7" spans="1:2">
      <c r="A7" t="s">
        <v>164</v>
      </c>
      <c r="B7" t="s">
        <v>165</v>
      </c>
    </row>
    <row r="8" spans="1:2">
      <c r="A8" t="s">
        <v>166</v>
      </c>
      <c r="B8" t="s">
        <v>167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E6" sqref="E6"/>
    </sheetView>
  </sheetViews>
  <sheetFormatPr defaultColWidth="8.72727272727273" defaultRowHeight="14.5" outlineLevelRow="5" outlineLevelCol="3"/>
  <sheetData>
    <row r="1" spans="1:4">
      <c r="A1" s="1" t="s">
        <v>168</v>
      </c>
      <c r="B1" s="1" t="s">
        <v>169</v>
      </c>
      <c r="C1" s="1" t="s">
        <v>170</v>
      </c>
      <c r="D1" s="1" t="s">
        <v>171</v>
      </c>
    </row>
    <row r="2" ht="29" spans="1:4">
      <c r="A2" s="2" t="s">
        <v>172</v>
      </c>
      <c r="B2" s="2" t="s">
        <v>173</v>
      </c>
      <c r="C2" s="2" t="s">
        <v>174</v>
      </c>
      <c r="D2" s="2" t="s">
        <v>175</v>
      </c>
    </row>
    <row r="3" ht="58" spans="1:4">
      <c r="A3" s="2" t="s">
        <v>176</v>
      </c>
      <c r="B3" s="2">
        <v>3</v>
      </c>
      <c r="C3" s="2" t="s">
        <v>177</v>
      </c>
      <c r="D3" s="2" t="s">
        <v>178</v>
      </c>
    </row>
    <row r="4" ht="43.5" spans="1:4">
      <c r="A4" s="2" t="s">
        <v>179</v>
      </c>
      <c r="B4" s="2">
        <v>0</v>
      </c>
      <c r="C4" s="2" t="s">
        <v>180</v>
      </c>
      <c r="D4" s="2" t="s">
        <v>178</v>
      </c>
    </row>
    <row r="5" ht="58" spans="1:4">
      <c r="A5" s="2" t="s">
        <v>181</v>
      </c>
      <c r="B5" s="2">
        <v>2</v>
      </c>
      <c r="C5" s="2" t="s">
        <v>182</v>
      </c>
      <c r="D5" s="2" t="s">
        <v>178</v>
      </c>
    </row>
    <row r="6" ht="58" spans="1:4">
      <c r="A6" s="2" t="s">
        <v>183</v>
      </c>
      <c r="B6" s="2">
        <v>2</v>
      </c>
      <c r="C6" s="2" t="s">
        <v>184</v>
      </c>
      <c r="D6" s="2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Raw_Data</vt:lpstr>
      <vt:lpstr>Analysis</vt:lpstr>
      <vt:lpstr>Analysis 2</vt:lpstr>
      <vt:lpstr>ANALYSIS 3</vt:lpstr>
      <vt:lpstr>analysis 4</vt:lpstr>
      <vt:lpstr>Cleaned_data</vt:lpstr>
      <vt:lpstr>README</vt:lpstr>
      <vt:lpstr>Data_cleaning_log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Favour Samuel</cp:lastModifiedBy>
  <dcterms:created xsi:type="dcterms:W3CDTF">2026-10-05T08:03:00Z</dcterms:created>
  <dcterms:modified xsi:type="dcterms:W3CDTF">2026-10-15T21:44:13Z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C9DC00F2E36D47E586E1CBFFD67F7417_13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